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3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4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5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6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Ex7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8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9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1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harts/chart1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1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1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1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1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1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Ex10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2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Ex11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charts/chartEx12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charts/chartEx13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charts/chart23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Ex14.xml" ContentType="application/vnd.ms-office.chartex+xml"/>
  <Override PartName="/xl/charts/style37.xml" ContentType="application/vnd.ms-office.chartstyle+xml"/>
  <Override PartName="/xl/charts/colors37.xml" ContentType="application/vnd.ms-office.chartcolorstyle+xml"/>
  <Override PartName="/xl/charts/chart24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Ex15.xml" ContentType="application/vnd.ms-office.chartex+xml"/>
  <Override PartName="/xl/charts/style39.xml" ContentType="application/vnd.ms-office.chartstyle+xml"/>
  <Override PartName="/xl/charts/colors39.xml" ContentType="application/vnd.ms-office.chartcolorstyle+xml"/>
  <Override PartName="/xl/charts/chartEx16.xml" ContentType="application/vnd.ms-office.chartex+xml"/>
  <Override PartName="/xl/charts/style40.xml" ContentType="application/vnd.ms-office.chartstyle+xml"/>
  <Override PartName="/xl/charts/colors40.xml" ContentType="application/vnd.ms-office.chartcolorstyle+xml"/>
  <Override PartName="/xl/charts/chartEx17.xml" ContentType="application/vnd.ms-office.chartex+xml"/>
  <Override PartName="/xl/charts/style41.xml" ContentType="application/vnd.ms-office.chartstyle+xml"/>
  <Override PartName="/xl/charts/colors41.xml" ContentType="application/vnd.ms-office.chartcolorstyle+xml"/>
  <Override PartName="/xl/charts/chartEx18.xml" ContentType="application/vnd.ms-office.chartex+xml"/>
  <Override PartName="/xl/charts/style42.xml" ContentType="application/vnd.ms-office.chartstyle+xml"/>
  <Override PartName="/xl/charts/colors42.xml" ContentType="application/vnd.ms-office.chartcolorstyle+xml"/>
  <Override PartName="/xl/charts/chart25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26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27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28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29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30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tin\OneDrive\Desktop\ZR\50RunTest\"/>
    </mc:Choice>
  </mc:AlternateContent>
  <xr:revisionPtr revIDLastSave="0" documentId="13_ncr:1_{9EF9C521-0018-4A8F-AD0C-EE776DB436AD}" xr6:coauthVersionLast="47" xr6:coauthVersionMax="47" xr10:uidLastSave="{00000000-0000-0000-0000-000000000000}"/>
  <bookViews>
    <workbookView xWindow="60" yWindow="10" windowWidth="25580" windowHeight="15260" activeTab="7" xr2:uid="{00000000-000D-0000-FFFF-FFFF00000000}"/>
  </bookViews>
  <sheets>
    <sheet name="raw_podaci" sheetId="1" r:id="rId1"/>
    <sheet name="podaci" sheetId="2" r:id="rId2"/>
    <sheet name="statistika" sheetId="3" r:id="rId3"/>
    <sheet name="usporedba_ploca" sheetId="4" r:id="rId4"/>
    <sheet name="vs_referenca" sheetId="5" r:id="rId5"/>
    <sheet name="najbolji_vs_najgori" sheetId="6" r:id="rId6"/>
    <sheet name="rezultati" sheetId="7" r:id="rId7"/>
    <sheet name="grafovi_final" sheetId="8" r:id="rId8"/>
  </sheets>
  <definedNames>
    <definedName name="_xlchart.v1.0" hidden="1">podaci!$B$2:$B$51</definedName>
    <definedName name="_xlchart.v1.1" hidden="1">podaci!$B$2:$B$51</definedName>
    <definedName name="_xlchart.v1.10" hidden="1">podaci!$C$62:$C$111</definedName>
    <definedName name="_xlchart.v1.11" hidden="1">podaci!$D$62:$D$111</definedName>
    <definedName name="_xlchart.v1.12" hidden="1">podaci!$E$62:$E$111</definedName>
    <definedName name="_xlchart.v1.13" hidden="1">podaci!$F$62:$F$111</definedName>
    <definedName name="_xlchart.v1.14" hidden="1">podaci!$C$121:$C$170</definedName>
    <definedName name="_xlchart.v1.15" hidden="1">podaci!$D$121:$D$170</definedName>
    <definedName name="_xlchart.v1.16" hidden="1">podaci!$E$121:$E$170</definedName>
    <definedName name="_xlchart.v1.17" hidden="1">podaci!$F$121:$F$170</definedName>
    <definedName name="_xlchart.v1.18" hidden="1">podaci!$B$2:$B$51</definedName>
    <definedName name="_xlchart.v1.19" hidden="1">podaci!$B$121:$B$170</definedName>
    <definedName name="_xlchart.v1.2" hidden="1">podaci!$B$62:$B$111</definedName>
    <definedName name="_xlchart.v1.20" hidden="1">podaci!$C$62:$C$111</definedName>
    <definedName name="_xlchart.v1.21" hidden="1">podaci!$D$62:$D$111</definedName>
    <definedName name="_xlchart.v1.22" hidden="1">podaci!$E$62:$E$111</definedName>
    <definedName name="_xlchart.v1.23" hidden="1">podaci!$F$62:$F$111</definedName>
    <definedName name="_xlchart.v1.24" hidden="1">podaci!$B$62:$B$111</definedName>
    <definedName name="_xlchart.v1.25" hidden="1">podaci!$B$2:$B$51</definedName>
    <definedName name="_xlchart.v1.26" hidden="1">podaci!$C$2:$C$51</definedName>
    <definedName name="_xlchart.v1.27" hidden="1">podaci!$D$2:$D$51</definedName>
    <definedName name="_xlchart.v1.28" hidden="1">podaci!$E$2:$E$51</definedName>
    <definedName name="_xlchart.v1.29" hidden="1">podaci!$F$2:$F$51</definedName>
    <definedName name="_xlchart.v1.3" hidden="1">podaci!$B$121:$B$170</definedName>
    <definedName name="_xlchart.v1.30" hidden="1">podaci!$C$121:$C$170</definedName>
    <definedName name="_xlchart.v1.31" hidden="1">podaci!$D$121:$D$170</definedName>
    <definedName name="_xlchart.v1.32" hidden="1">podaci!$E$121:$E$170</definedName>
    <definedName name="_xlchart.v1.33" hidden="1">podaci!$F$121:$F$170</definedName>
    <definedName name="_xlchart.v1.34" hidden="1">podaci!$B$121:$B$170</definedName>
    <definedName name="_xlchart.v1.35" hidden="1">podaci!$B$62:$B$111</definedName>
    <definedName name="_xlchart.v1.4" hidden="1">podaci!$B$62:$B$111</definedName>
    <definedName name="_xlchart.v1.5" hidden="1">podaci!$B$121:$B$170</definedName>
    <definedName name="_xlchart.v1.6" hidden="1">podaci!$C$2:$C$51</definedName>
    <definedName name="_xlchart.v1.7" hidden="1">podaci!$D$2:$D$51</definedName>
    <definedName name="_xlchart.v1.8" hidden="1">podaci!$E$2:$E$51</definedName>
    <definedName name="_xlchart.v1.9" hidden="1">podaci!$F$2:$F$51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9" i="7" l="1"/>
  <c r="B138" i="7"/>
  <c r="B135" i="7"/>
  <c r="B134" i="7"/>
  <c r="B133" i="7"/>
  <c r="B132" i="7"/>
  <c r="B129" i="7"/>
  <c r="B128" i="7"/>
  <c r="B127" i="7"/>
  <c r="B126" i="7"/>
  <c r="B125" i="7"/>
  <c r="B124" i="7"/>
  <c r="B123" i="7"/>
  <c r="B80" i="7"/>
  <c r="B79" i="7"/>
  <c r="B76" i="7"/>
  <c r="B75" i="7"/>
  <c r="B74" i="7"/>
  <c r="B73" i="7"/>
  <c r="B70" i="7"/>
  <c r="B69" i="7"/>
  <c r="B68" i="7"/>
  <c r="B67" i="7"/>
  <c r="B66" i="7"/>
  <c r="B65" i="7"/>
  <c r="B64" i="7"/>
  <c r="B6" i="7"/>
  <c r="B5" i="7"/>
  <c r="O170" i="1"/>
  <c r="M170" i="1"/>
  <c r="K170" i="1"/>
  <c r="O169" i="1"/>
  <c r="T126" i="2" s="1"/>
  <c r="M169" i="1"/>
  <c r="K169" i="1"/>
  <c r="O168" i="1"/>
  <c r="M168" i="1"/>
  <c r="K168" i="1"/>
  <c r="O167" i="1"/>
  <c r="I167" i="2" s="1"/>
  <c r="M167" i="1"/>
  <c r="K167" i="1"/>
  <c r="O166" i="1"/>
  <c r="I166" i="2" s="1"/>
  <c r="M166" i="1"/>
  <c r="K166" i="1"/>
  <c r="O165" i="1"/>
  <c r="T157" i="2" s="1"/>
  <c r="M165" i="1"/>
  <c r="K165" i="1"/>
  <c r="O164" i="1"/>
  <c r="M164" i="1"/>
  <c r="K164" i="1"/>
  <c r="O163" i="1"/>
  <c r="I163" i="2" s="1"/>
  <c r="M163" i="1"/>
  <c r="K163" i="1"/>
  <c r="O162" i="1"/>
  <c r="M162" i="1"/>
  <c r="K162" i="1"/>
  <c r="O161" i="1"/>
  <c r="I161" i="2" s="1"/>
  <c r="M161" i="1"/>
  <c r="K161" i="1"/>
  <c r="O160" i="1"/>
  <c r="T130" i="2" s="1"/>
  <c r="M160" i="1"/>
  <c r="K160" i="1"/>
  <c r="O159" i="1"/>
  <c r="M159" i="1"/>
  <c r="K159" i="1"/>
  <c r="O158" i="1"/>
  <c r="M158" i="1"/>
  <c r="K158" i="1"/>
  <c r="O157" i="1"/>
  <c r="I157" i="2" s="1"/>
  <c r="M157" i="1"/>
  <c r="K157" i="1"/>
  <c r="O156" i="1"/>
  <c r="T133" i="2" s="1"/>
  <c r="M156" i="1"/>
  <c r="K156" i="1"/>
  <c r="O155" i="1"/>
  <c r="I155" i="2" s="1"/>
  <c r="M155" i="1"/>
  <c r="K155" i="1"/>
  <c r="O154" i="1"/>
  <c r="M154" i="1"/>
  <c r="K154" i="1"/>
  <c r="O153" i="1"/>
  <c r="I153" i="2" s="1"/>
  <c r="M153" i="1"/>
  <c r="K153" i="1"/>
  <c r="O152" i="1"/>
  <c r="I152" i="2" s="1"/>
  <c r="M152" i="1"/>
  <c r="K152" i="1"/>
  <c r="O151" i="1"/>
  <c r="M151" i="1"/>
  <c r="K151" i="1"/>
  <c r="O150" i="1"/>
  <c r="I150" i="2" s="1"/>
  <c r="M150" i="1"/>
  <c r="K150" i="1"/>
  <c r="O149" i="1"/>
  <c r="T152" i="2" s="1"/>
  <c r="M149" i="1"/>
  <c r="K149" i="1"/>
  <c r="O148" i="1"/>
  <c r="M148" i="1"/>
  <c r="K148" i="1"/>
  <c r="O147" i="1"/>
  <c r="I147" i="2" s="1"/>
  <c r="M147" i="1"/>
  <c r="K147" i="1"/>
  <c r="O146" i="1"/>
  <c r="I146" i="2" s="1"/>
  <c r="M146" i="1"/>
  <c r="K146" i="1"/>
  <c r="O145" i="1"/>
  <c r="I145" i="2" s="1"/>
  <c r="M145" i="1"/>
  <c r="K145" i="1"/>
  <c r="O144" i="1"/>
  <c r="T162" i="2" s="1"/>
  <c r="M144" i="1"/>
  <c r="K144" i="1"/>
  <c r="O143" i="1"/>
  <c r="M143" i="1"/>
  <c r="K143" i="1"/>
  <c r="O142" i="1"/>
  <c r="M142" i="1"/>
  <c r="K142" i="1"/>
  <c r="O141" i="1"/>
  <c r="T168" i="2" s="1"/>
  <c r="M141" i="1"/>
  <c r="K141" i="1"/>
  <c r="O140" i="1"/>
  <c r="I140" i="2" s="1"/>
  <c r="M140" i="1"/>
  <c r="K140" i="1"/>
  <c r="O139" i="1"/>
  <c r="I139" i="2" s="1"/>
  <c r="M139" i="1"/>
  <c r="K139" i="1"/>
  <c r="O138" i="1"/>
  <c r="M138" i="1"/>
  <c r="K138" i="1"/>
  <c r="O137" i="1"/>
  <c r="I137" i="2" s="1"/>
  <c r="M137" i="1"/>
  <c r="K137" i="1"/>
  <c r="O136" i="1"/>
  <c r="M136" i="1"/>
  <c r="K136" i="1"/>
  <c r="O135" i="1"/>
  <c r="T160" i="2" s="1"/>
  <c r="M135" i="1"/>
  <c r="K135" i="1"/>
  <c r="O134" i="1"/>
  <c r="I134" i="2" s="1"/>
  <c r="M134" i="1"/>
  <c r="K134" i="1"/>
  <c r="O133" i="1"/>
  <c r="T121" i="2" s="1"/>
  <c r="M133" i="1"/>
  <c r="K133" i="1"/>
  <c r="O132" i="1"/>
  <c r="M132" i="1"/>
  <c r="K132" i="1"/>
  <c r="O131" i="1"/>
  <c r="I131" i="2" s="1"/>
  <c r="M131" i="1"/>
  <c r="K131" i="1"/>
  <c r="O130" i="1"/>
  <c r="M130" i="1"/>
  <c r="K130" i="1"/>
  <c r="O129" i="1"/>
  <c r="I129" i="2" s="1"/>
  <c r="M129" i="1"/>
  <c r="K129" i="1"/>
  <c r="O128" i="1"/>
  <c r="T128" i="2" s="1"/>
  <c r="M128" i="1"/>
  <c r="K128" i="1"/>
  <c r="O127" i="1"/>
  <c r="M127" i="1"/>
  <c r="K127" i="1"/>
  <c r="O126" i="1"/>
  <c r="M126" i="1"/>
  <c r="K126" i="1"/>
  <c r="O125" i="1"/>
  <c r="I125" i="2" s="1"/>
  <c r="M125" i="1"/>
  <c r="K125" i="1"/>
  <c r="O124" i="1"/>
  <c r="I124" i="2" s="1"/>
  <c r="M124" i="1"/>
  <c r="K124" i="1"/>
  <c r="O123" i="1"/>
  <c r="I123" i="2" s="1"/>
  <c r="M123" i="1"/>
  <c r="K123" i="1"/>
  <c r="O122" i="1"/>
  <c r="M122" i="1"/>
  <c r="K122" i="1"/>
  <c r="O121" i="1"/>
  <c r="M121" i="1"/>
  <c r="K121" i="1"/>
  <c r="A121" i="2"/>
  <c r="B121" i="2"/>
  <c r="C121" i="2"/>
  <c r="D121" i="2"/>
  <c r="E121" i="2"/>
  <c r="F121" i="2"/>
  <c r="G121" i="2"/>
  <c r="H121" i="2"/>
  <c r="I121" i="2"/>
  <c r="A122" i="2"/>
  <c r="B122" i="2"/>
  <c r="C122" i="2"/>
  <c r="D122" i="2"/>
  <c r="E122" i="2"/>
  <c r="F122" i="2"/>
  <c r="G122" i="2"/>
  <c r="H122" i="2"/>
  <c r="I122" i="2"/>
  <c r="A123" i="2"/>
  <c r="B123" i="2"/>
  <c r="C123" i="2"/>
  <c r="D123" i="2"/>
  <c r="E123" i="2"/>
  <c r="F123" i="2"/>
  <c r="G123" i="2"/>
  <c r="H123" i="2"/>
  <c r="A124" i="2"/>
  <c r="B124" i="2"/>
  <c r="C124" i="2"/>
  <c r="D124" i="2"/>
  <c r="E124" i="2"/>
  <c r="F124" i="2"/>
  <c r="G124" i="2"/>
  <c r="H124" i="2"/>
  <c r="A125" i="2"/>
  <c r="B125" i="2"/>
  <c r="C125" i="2"/>
  <c r="D125" i="2"/>
  <c r="E125" i="2"/>
  <c r="F125" i="2"/>
  <c r="G125" i="2"/>
  <c r="H125" i="2"/>
  <c r="A126" i="2"/>
  <c r="B126" i="2"/>
  <c r="C126" i="2"/>
  <c r="D126" i="2"/>
  <c r="E126" i="2"/>
  <c r="F126" i="2"/>
  <c r="G126" i="2"/>
  <c r="H126" i="2"/>
  <c r="I126" i="2"/>
  <c r="A127" i="2"/>
  <c r="B127" i="2"/>
  <c r="C127" i="2"/>
  <c r="D127" i="2"/>
  <c r="E127" i="2"/>
  <c r="F127" i="2"/>
  <c r="G127" i="2"/>
  <c r="H127" i="2"/>
  <c r="I127" i="2"/>
  <c r="A128" i="2"/>
  <c r="B128" i="2"/>
  <c r="C128" i="2"/>
  <c r="D128" i="2"/>
  <c r="E128" i="2"/>
  <c r="F128" i="2"/>
  <c r="G128" i="2"/>
  <c r="H128" i="2"/>
  <c r="A129" i="2"/>
  <c r="B129" i="2"/>
  <c r="C129" i="2"/>
  <c r="D129" i="2"/>
  <c r="E129" i="2"/>
  <c r="F129" i="2"/>
  <c r="G129" i="2"/>
  <c r="H129" i="2"/>
  <c r="A130" i="2"/>
  <c r="B130" i="2"/>
  <c r="C130" i="2"/>
  <c r="D130" i="2"/>
  <c r="E130" i="2"/>
  <c r="F130" i="2"/>
  <c r="G130" i="2"/>
  <c r="H130" i="2"/>
  <c r="I130" i="2"/>
  <c r="A131" i="2"/>
  <c r="B131" i="2"/>
  <c r="C131" i="2"/>
  <c r="D131" i="2"/>
  <c r="E131" i="2"/>
  <c r="F131" i="2"/>
  <c r="G131" i="2"/>
  <c r="H131" i="2"/>
  <c r="A132" i="2"/>
  <c r="B132" i="2"/>
  <c r="C132" i="2"/>
  <c r="D132" i="2"/>
  <c r="E132" i="2"/>
  <c r="F132" i="2"/>
  <c r="G132" i="2"/>
  <c r="H132" i="2"/>
  <c r="I132" i="2"/>
  <c r="A133" i="2"/>
  <c r="B133" i="2"/>
  <c r="C133" i="2"/>
  <c r="D133" i="2"/>
  <c r="E133" i="2"/>
  <c r="F133" i="2"/>
  <c r="G133" i="2"/>
  <c r="H133" i="2"/>
  <c r="A134" i="2"/>
  <c r="B134" i="2"/>
  <c r="C134" i="2"/>
  <c r="D134" i="2"/>
  <c r="E134" i="2"/>
  <c r="F134" i="2"/>
  <c r="G134" i="2"/>
  <c r="H134" i="2"/>
  <c r="A135" i="2"/>
  <c r="B135" i="2"/>
  <c r="C135" i="2"/>
  <c r="D135" i="2"/>
  <c r="E135" i="2"/>
  <c r="F135" i="2"/>
  <c r="G135" i="2"/>
  <c r="H135" i="2"/>
  <c r="A136" i="2"/>
  <c r="B136" i="2"/>
  <c r="C136" i="2"/>
  <c r="D136" i="2"/>
  <c r="E136" i="2"/>
  <c r="F136" i="2"/>
  <c r="G136" i="2"/>
  <c r="H136" i="2"/>
  <c r="I136" i="2"/>
  <c r="A137" i="2"/>
  <c r="B137" i="2"/>
  <c r="C137" i="2"/>
  <c r="D137" i="2"/>
  <c r="E137" i="2"/>
  <c r="F137" i="2"/>
  <c r="G137" i="2"/>
  <c r="H137" i="2"/>
  <c r="A138" i="2"/>
  <c r="B138" i="2"/>
  <c r="C138" i="2"/>
  <c r="D138" i="2"/>
  <c r="E138" i="2"/>
  <c r="F138" i="2"/>
  <c r="G138" i="2"/>
  <c r="H138" i="2"/>
  <c r="I138" i="2"/>
  <c r="A139" i="2"/>
  <c r="B139" i="2"/>
  <c r="C139" i="2"/>
  <c r="D139" i="2"/>
  <c r="E139" i="2"/>
  <c r="F139" i="2"/>
  <c r="G139" i="2"/>
  <c r="H139" i="2"/>
  <c r="A140" i="2"/>
  <c r="B140" i="2"/>
  <c r="C140" i="2"/>
  <c r="D140" i="2"/>
  <c r="E140" i="2"/>
  <c r="F140" i="2"/>
  <c r="G140" i="2"/>
  <c r="H140" i="2"/>
  <c r="A141" i="2"/>
  <c r="B141" i="2"/>
  <c r="C141" i="2"/>
  <c r="D141" i="2"/>
  <c r="E141" i="2"/>
  <c r="F141" i="2"/>
  <c r="G141" i="2"/>
  <c r="H141" i="2"/>
  <c r="I141" i="2"/>
  <c r="A142" i="2"/>
  <c r="B142" i="2"/>
  <c r="C142" i="2"/>
  <c r="D142" i="2"/>
  <c r="E142" i="2"/>
  <c r="F142" i="2"/>
  <c r="G142" i="2"/>
  <c r="H142" i="2"/>
  <c r="I142" i="2"/>
  <c r="A143" i="2"/>
  <c r="B143" i="2"/>
  <c r="C143" i="2"/>
  <c r="D143" i="2"/>
  <c r="E143" i="2"/>
  <c r="F143" i="2"/>
  <c r="G143" i="2"/>
  <c r="H143" i="2"/>
  <c r="I143" i="2"/>
  <c r="A144" i="2"/>
  <c r="B144" i="2"/>
  <c r="C144" i="2"/>
  <c r="D144" i="2"/>
  <c r="E144" i="2"/>
  <c r="F144" i="2"/>
  <c r="G144" i="2"/>
  <c r="H144" i="2"/>
  <c r="A145" i="2"/>
  <c r="B145" i="2"/>
  <c r="C145" i="2"/>
  <c r="D145" i="2"/>
  <c r="E145" i="2"/>
  <c r="F145" i="2"/>
  <c r="G145" i="2"/>
  <c r="H145" i="2"/>
  <c r="A146" i="2"/>
  <c r="B146" i="2"/>
  <c r="C146" i="2"/>
  <c r="D146" i="2"/>
  <c r="E146" i="2"/>
  <c r="F146" i="2"/>
  <c r="G146" i="2"/>
  <c r="H146" i="2"/>
  <c r="A147" i="2"/>
  <c r="B147" i="2"/>
  <c r="C147" i="2"/>
  <c r="D147" i="2"/>
  <c r="E147" i="2"/>
  <c r="F147" i="2"/>
  <c r="G147" i="2"/>
  <c r="H147" i="2"/>
  <c r="A148" i="2"/>
  <c r="B148" i="2"/>
  <c r="C148" i="2"/>
  <c r="D148" i="2"/>
  <c r="E148" i="2"/>
  <c r="F148" i="2"/>
  <c r="G148" i="2"/>
  <c r="H148" i="2"/>
  <c r="I148" i="2"/>
  <c r="A149" i="2"/>
  <c r="B149" i="2"/>
  <c r="C149" i="2"/>
  <c r="D149" i="2"/>
  <c r="E149" i="2"/>
  <c r="F149" i="2"/>
  <c r="G149" i="2"/>
  <c r="H149" i="2"/>
  <c r="A150" i="2"/>
  <c r="B150" i="2"/>
  <c r="C150" i="2"/>
  <c r="D150" i="2"/>
  <c r="E150" i="2"/>
  <c r="F150" i="2"/>
  <c r="G150" i="2"/>
  <c r="H150" i="2"/>
  <c r="A151" i="2"/>
  <c r="B151" i="2"/>
  <c r="C151" i="2"/>
  <c r="D151" i="2"/>
  <c r="E151" i="2"/>
  <c r="F151" i="2"/>
  <c r="G151" i="2"/>
  <c r="H151" i="2"/>
  <c r="I151" i="2"/>
  <c r="A152" i="2"/>
  <c r="B152" i="2"/>
  <c r="C152" i="2"/>
  <c r="D152" i="2"/>
  <c r="E152" i="2"/>
  <c r="F152" i="2"/>
  <c r="G152" i="2"/>
  <c r="H152" i="2"/>
  <c r="A153" i="2"/>
  <c r="B153" i="2"/>
  <c r="C153" i="2"/>
  <c r="D153" i="2"/>
  <c r="E153" i="2"/>
  <c r="F153" i="2"/>
  <c r="G153" i="2"/>
  <c r="H153" i="2"/>
  <c r="A154" i="2"/>
  <c r="B154" i="2"/>
  <c r="C154" i="2"/>
  <c r="D154" i="2"/>
  <c r="E154" i="2"/>
  <c r="F154" i="2"/>
  <c r="G154" i="2"/>
  <c r="H154" i="2"/>
  <c r="I154" i="2"/>
  <c r="A155" i="2"/>
  <c r="B155" i="2"/>
  <c r="C155" i="2"/>
  <c r="D155" i="2"/>
  <c r="E155" i="2"/>
  <c r="F155" i="2"/>
  <c r="G155" i="2"/>
  <c r="H155" i="2"/>
  <c r="A156" i="2"/>
  <c r="B156" i="2"/>
  <c r="C156" i="2"/>
  <c r="D156" i="2"/>
  <c r="E156" i="2"/>
  <c r="F156" i="2"/>
  <c r="G156" i="2"/>
  <c r="H156" i="2"/>
  <c r="A157" i="2"/>
  <c r="B157" i="2"/>
  <c r="C157" i="2"/>
  <c r="D157" i="2"/>
  <c r="E157" i="2"/>
  <c r="F157" i="2"/>
  <c r="G157" i="2"/>
  <c r="H157" i="2"/>
  <c r="A158" i="2"/>
  <c r="B158" i="2"/>
  <c r="C158" i="2"/>
  <c r="D158" i="2"/>
  <c r="E158" i="2"/>
  <c r="F158" i="2"/>
  <c r="G158" i="2"/>
  <c r="H158" i="2"/>
  <c r="I158" i="2"/>
  <c r="A159" i="2"/>
  <c r="B159" i="2"/>
  <c r="C159" i="2"/>
  <c r="D159" i="2"/>
  <c r="E159" i="2"/>
  <c r="F159" i="2"/>
  <c r="G159" i="2"/>
  <c r="H159" i="2"/>
  <c r="I159" i="2"/>
  <c r="A160" i="2"/>
  <c r="B160" i="2"/>
  <c r="C160" i="2"/>
  <c r="D160" i="2"/>
  <c r="E160" i="2"/>
  <c r="F160" i="2"/>
  <c r="G160" i="2"/>
  <c r="H160" i="2"/>
  <c r="A161" i="2"/>
  <c r="B161" i="2"/>
  <c r="C161" i="2"/>
  <c r="D161" i="2"/>
  <c r="E161" i="2"/>
  <c r="F161" i="2"/>
  <c r="G161" i="2"/>
  <c r="H161" i="2"/>
  <c r="A162" i="2"/>
  <c r="B162" i="2"/>
  <c r="C162" i="2"/>
  <c r="D162" i="2"/>
  <c r="E162" i="2"/>
  <c r="F162" i="2"/>
  <c r="G162" i="2"/>
  <c r="H162" i="2"/>
  <c r="I162" i="2"/>
  <c r="A163" i="2"/>
  <c r="B163" i="2"/>
  <c r="C163" i="2"/>
  <c r="D163" i="2"/>
  <c r="E163" i="2"/>
  <c r="F163" i="2"/>
  <c r="G163" i="2"/>
  <c r="H163" i="2"/>
  <c r="A164" i="2"/>
  <c r="B164" i="2"/>
  <c r="C164" i="2"/>
  <c r="D164" i="2"/>
  <c r="E164" i="2"/>
  <c r="F164" i="2"/>
  <c r="G164" i="2"/>
  <c r="H164" i="2"/>
  <c r="I164" i="2"/>
  <c r="A165" i="2"/>
  <c r="B165" i="2"/>
  <c r="C165" i="2"/>
  <c r="D165" i="2"/>
  <c r="E165" i="2"/>
  <c r="F165" i="2"/>
  <c r="G165" i="2"/>
  <c r="H165" i="2"/>
  <c r="A166" i="2"/>
  <c r="B166" i="2"/>
  <c r="C166" i="2"/>
  <c r="D166" i="2"/>
  <c r="E166" i="2"/>
  <c r="F166" i="2"/>
  <c r="G166" i="2"/>
  <c r="H166" i="2"/>
  <c r="A167" i="2"/>
  <c r="B167" i="2"/>
  <c r="C167" i="2"/>
  <c r="D167" i="2"/>
  <c r="E167" i="2"/>
  <c r="F167" i="2"/>
  <c r="G167" i="2"/>
  <c r="H167" i="2"/>
  <c r="A168" i="2"/>
  <c r="B168" i="2"/>
  <c r="C168" i="2"/>
  <c r="D168" i="2"/>
  <c r="E168" i="2"/>
  <c r="F168" i="2"/>
  <c r="G168" i="2"/>
  <c r="H168" i="2"/>
  <c r="I168" i="2"/>
  <c r="A169" i="2"/>
  <c r="B169" i="2"/>
  <c r="C169" i="2"/>
  <c r="D169" i="2"/>
  <c r="E169" i="2"/>
  <c r="F169" i="2"/>
  <c r="G169" i="2"/>
  <c r="H169" i="2"/>
  <c r="A170" i="2"/>
  <c r="B170" i="2"/>
  <c r="C170" i="2"/>
  <c r="D170" i="2"/>
  <c r="E170" i="2"/>
  <c r="F170" i="2"/>
  <c r="G170" i="2"/>
  <c r="H170" i="2"/>
  <c r="I170" i="2"/>
  <c r="B66" i="6"/>
  <c r="B65" i="6"/>
  <c r="B3" i="6"/>
  <c r="B5" i="6" s="1"/>
  <c r="B4" i="6"/>
  <c r="B6" i="6" s="1"/>
  <c r="T167" i="2"/>
  <c r="S167" i="2"/>
  <c r="T147" i="2"/>
  <c r="S147" i="2"/>
  <c r="S128" i="2"/>
  <c r="T139" i="2"/>
  <c r="S139" i="2"/>
  <c r="T140" i="2"/>
  <c r="S140" i="2"/>
  <c r="S137" i="2"/>
  <c r="T127" i="2"/>
  <c r="S127" i="2"/>
  <c r="S144" i="2"/>
  <c r="S161" i="2"/>
  <c r="T169" i="2"/>
  <c r="S169" i="2"/>
  <c r="S126" i="2"/>
  <c r="T156" i="2"/>
  <c r="S156" i="2"/>
  <c r="S121" i="2"/>
  <c r="T153" i="2"/>
  <c r="S153" i="2"/>
  <c r="T166" i="2"/>
  <c r="S166" i="2"/>
  <c r="T134" i="2"/>
  <c r="S134" i="2"/>
  <c r="S158" i="2"/>
  <c r="T132" i="2"/>
  <c r="S132" i="2"/>
  <c r="T148" i="2"/>
  <c r="S148" i="2"/>
  <c r="S163" i="2"/>
  <c r="T131" i="2"/>
  <c r="S131" i="2"/>
  <c r="T125" i="2"/>
  <c r="S125" i="2"/>
  <c r="S123" i="2"/>
  <c r="T124" i="2"/>
  <c r="S124" i="2"/>
  <c r="S122" i="2"/>
  <c r="S129" i="2"/>
  <c r="S152" i="2"/>
  <c r="S164" i="2"/>
  <c r="T145" i="2"/>
  <c r="S145" i="2"/>
  <c r="S142" i="2"/>
  <c r="S150" i="2"/>
  <c r="S138" i="2"/>
  <c r="S151" i="2"/>
  <c r="T170" i="2"/>
  <c r="S170" i="2"/>
  <c r="S168" i="2"/>
  <c r="S133" i="2"/>
  <c r="S141" i="2"/>
  <c r="S162" i="2"/>
  <c r="T155" i="2"/>
  <c r="S155" i="2"/>
  <c r="T135" i="2"/>
  <c r="S135" i="2"/>
  <c r="S143" i="2"/>
  <c r="T165" i="2"/>
  <c r="S165" i="2"/>
  <c r="S160" i="2"/>
  <c r="S149" i="2"/>
  <c r="T136" i="2"/>
  <c r="S136" i="2"/>
  <c r="T154" i="2"/>
  <c r="S154" i="2"/>
  <c r="S157" i="2"/>
  <c r="S130" i="2"/>
  <c r="T146" i="2"/>
  <c r="S146" i="2"/>
  <c r="T159" i="2"/>
  <c r="S159" i="2"/>
  <c r="S73" i="2"/>
  <c r="S101" i="2"/>
  <c r="S66" i="2"/>
  <c r="S67" i="2"/>
  <c r="S104" i="2"/>
  <c r="S65" i="2"/>
  <c r="S111" i="2"/>
  <c r="S81" i="2"/>
  <c r="S105" i="2"/>
  <c r="S89" i="2"/>
  <c r="S64" i="2"/>
  <c r="S90" i="2"/>
  <c r="S93" i="2"/>
  <c r="S80" i="2"/>
  <c r="S76" i="2"/>
  <c r="S84" i="2"/>
  <c r="S88" i="2"/>
  <c r="S83" i="2"/>
  <c r="S98" i="2"/>
  <c r="S94" i="2"/>
  <c r="S75" i="2"/>
  <c r="S85" i="2"/>
  <c r="S97" i="2"/>
  <c r="S103" i="2"/>
  <c r="S70" i="2"/>
  <c r="S82" i="2"/>
  <c r="S74" i="2"/>
  <c r="S63" i="2"/>
  <c r="S102" i="2"/>
  <c r="S77" i="2"/>
  <c r="S71" i="2"/>
  <c r="S79" i="2"/>
  <c r="S62" i="2"/>
  <c r="S68" i="2"/>
  <c r="S107" i="2"/>
  <c r="S69" i="2"/>
  <c r="S95" i="2"/>
  <c r="S99" i="2"/>
  <c r="S78" i="2"/>
  <c r="S110" i="2"/>
  <c r="S108" i="2"/>
  <c r="S86" i="2"/>
  <c r="S109" i="2"/>
  <c r="S100" i="2"/>
  <c r="S91" i="2"/>
  <c r="S87" i="2"/>
  <c r="S106" i="2"/>
  <c r="S92" i="2"/>
  <c r="S72" i="2"/>
  <c r="S96" i="2"/>
  <c r="S3" i="2"/>
  <c r="S22" i="2"/>
  <c r="S51" i="2"/>
  <c r="S26" i="2"/>
  <c r="S46" i="2"/>
  <c r="S45" i="2"/>
  <c r="S18" i="2"/>
  <c r="S19" i="2"/>
  <c r="S2" i="2"/>
  <c r="S47" i="2"/>
  <c r="S4" i="2"/>
  <c r="S5" i="2"/>
  <c r="S38" i="2"/>
  <c r="S12" i="2"/>
  <c r="S43" i="2"/>
  <c r="S11" i="2"/>
  <c r="S35" i="2"/>
  <c r="S31" i="2"/>
  <c r="S20" i="2"/>
  <c r="S48" i="2"/>
  <c r="S15" i="2"/>
  <c r="S23" i="2"/>
  <c r="S29" i="2"/>
  <c r="S10" i="2"/>
  <c r="S7" i="2"/>
  <c r="S40" i="2"/>
  <c r="S21" i="2"/>
  <c r="S14" i="2"/>
  <c r="S42" i="2"/>
  <c r="S24" i="2"/>
  <c r="S41" i="2"/>
  <c r="S17" i="2"/>
  <c r="S50" i="2"/>
  <c r="S32" i="2"/>
  <c r="S16" i="2"/>
  <c r="S9" i="2"/>
  <c r="S30" i="2"/>
  <c r="S34" i="2"/>
  <c r="S44" i="2"/>
  <c r="S13" i="2"/>
  <c r="S37" i="2"/>
  <c r="S39" i="2"/>
  <c r="S8" i="2"/>
  <c r="S6" i="2"/>
  <c r="S36" i="2"/>
  <c r="S49" i="2"/>
  <c r="S33" i="2"/>
  <c r="S25" i="2"/>
  <c r="S27" i="2"/>
  <c r="S28" i="2"/>
  <c r="H111" i="2"/>
  <c r="G111" i="2"/>
  <c r="F111" i="2"/>
  <c r="E111" i="2"/>
  <c r="D111" i="2"/>
  <c r="C111" i="2"/>
  <c r="B111" i="2"/>
  <c r="A111" i="2"/>
  <c r="H110" i="2"/>
  <c r="G110" i="2"/>
  <c r="F110" i="2"/>
  <c r="E110" i="2"/>
  <c r="D110" i="2"/>
  <c r="C110" i="2"/>
  <c r="B110" i="2"/>
  <c r="A110" i="2"/>
  <c r="H109" i="2"/>
  <c r="G109" i="2"/>
  <c r="F109" i="2"/>
  <c r="E109" i="2"/>
  <c r="D109" i="2"/>
  <c r="C109" i="2"/>
  <c r="B109" i="2"/>
  <c r="A109" i="2"/>
  <c r="H108" i="2"/>
  <c r="G108" i="2"/>
  <c r="F108" i="2"/>
  <c r="E108" i="2"/>
  <c r="D108" i="2"/>
  <c r="C108" i="2"/>
  <c r="B108" i="2"/>
  <c r="A108" i="2"/>
  <c r="H107" i="2"/>
  <c r="G107" i="2"/>
  <c r="F107" i="2"/>
  <c r="E107" i="2"/>
  <c r="D107" i="2"/>
  <c r="C107" i="2"/>
  <c r="B107" i="2"/>
  <c r="A107" i="2"/>
  <c r="H106" i="2"/>
  <c r="G106" i="2"/>
  <c r="F106" i="2"/>
  <c r="E106" i="2"/>
  <c r="D106" i="2"/>
  <c r="C106" i="2"/>
  <c r="B106" i="2"/>
  <c r="A106" i="2"/>
  <c r="H105" i="2"/>
  <c r="G105" i="2"/>
  <c r="F105" i="2"/>
  <c r="E105" i="2"/>
  <c r="D105" i="2"/>
  <c r="C105" i="2"/>
  <c r="B105" i="2"/>
  <c r="A105" i="2"/>
  <c r="H104" i="2"/>
  <c r="G104" i="2"/>
  <c r="F104" i="2"/>
  <c r="E104" i="2"/>
  <c r="D104" i="2"/>
  <c r="C104" i="2"/>
  <c r="B104" i="2"/>
  <c r="A104" i="2"/>
  <c r="H103" i="2"/>
  <c r="G103" i="2"/>
  <c r="F103" i="2"/>
  <c r="E103" i="2"/>
  <c r="D103" i="2"/>
  <c r="C103" i="2"/>
  <c r="B103" i="2"/>
  <c r="A103" i="2"/>
  <c r="H102" i="2"/>
  <c r="G102" i="2"/>
  <c r="F102" i="2"/>
  <c r="E102" i="2"/>
  <c r="D102" i="2"/>
  <c r="C102" i="2"/>
  <c r="B102" i="2"/>
  <c r="A102" i="2"/>
  <c r="H101" i="2"/>
  <c r="G101" i="2"/>
  <c r="F101" i="2"/>
  <c r="E101" i="2"/>
  <c r="D101" i="2"/>
  <c r="C101" i="2"/>
  <c r="B101" i="2"/>
  <c r="A101" i="2"/>
  <c r="H100" i="2"/>
  <c r="G100" i="2"/>
  <c r="F100" i="2"/>
  <c r="E100" i="2"/>
  <c r="D100" i="2"/>
  <c r="C100" i="2"/>
  <c r="B100" i="2"/>
  <c r="A100" i="2"/>
  <c r="H99" i="2"/>
  <c r="G99" i="2"/>
  <c r="F99" i="2"/>
  <c r="E99" i="2"/>
  <c r="D99" i="2"/>
  <c r="C99" i="2"/>
  <c r="B99" i="2"/>
  <c r="A99" i="2"/>
  <c r="H98" i="2"/>
  <c r="G98" i="2"/>
  <c r="F98" i="2"/>
  <c r="E98" i="2"/>
  <c r="D98" i="2"/>
  <c r="C98" i="2"/>
  <c r="B98" i="2"/>
  <c r="A98" i="2"/>
  <c r="H97" i="2"/>
  <c r="G97" i="2"/>
  <c r="F97" i="2"/>
  <c r="E97" i="2"/>
  <c r="D97" i="2"/>
  <c r="C97" i="2"/>
  <c r="B97" i="2"/>
  <c r="A97" i="2"/>
  <c r="H96" i="2"/>
  <c r="G96" i="2"/>
  <c r="F96" i="2"/>
  <c r="E96" i="2"/>
  <c r="D96" i="2"/>
  <c r="C96" i="2"/>
  <c r="B96" i="2"/>
  <c r="A96" i="2"/>
  <c r="H95" i="2"/>
  <c r="G95" i="2"/>
  <c r="F95" i="2"/>
  <c r="E95" i="2"/>
  <c r="D95" i="2"/>
  <c r="C95" i="2"/>
  <c r="B95" i="2"/>
  <c r="A95" i="2"/>
  <c r="H94" i="2"/>
  <c r="G94" i="2"/>
  <c r="F94" i="2"/>
  <c r="E94" i="2"/>
  <c r="D94" i="2"/>
  <c r="C94" i="2"/>
  <c r="B94" i="2"/>
  <c r="A94" i="2"/>
  <c r="H93" i="2"/>
  <c r="G93" i="2"/>
  <c r="F93" i="2"/>
  <c r="E93" i="2"/>
  <c r="D93" i="2"/>
  <c r="C93" i="2"/>
  <c r="B93" i="2"/>
  <c r="A93" i="2"/>
  <c r="H92" i="2"/>
  <c r="G92" i="2"/>
  <c r="F92" i="2"/>
  <c r="E92" i="2"/>
  <c r="D92" i="2"/>
  <c r="C92" i="2"/>
  <c r="B92" i="2"/>
  <c r="A92" i="2"/>
  <c r="H91" i="2"/>
  <c r="G91" i="2"/>
  <c r="F91" i="2"/>
  <c r="E91" i="2"/>
  <c r="D91" i="2"/>
  <c r="C91" i="2"/>
  <c r="B91" i="2"/>
  <c r="A91" i="2"/>
  <c r="H90" i="2"/>
  <c r="G90" i="2"/>
  <c r="F90" i="2"/>
  <c r="E90" i="2"/>
  <c r="D90" i="2"/>
  <c r="C90" i="2"/>
  <c r="B90" i="2"/>
  <c r="A90" i="2"/>
  <c r="H89" i="2"/>
  <c r="G89" i="2"/>
  <c r="F89" i="2"/>
  <c r="E89" i="2"/>
  <c r="D89" i="2"/>
  <c r="C89" i="2"/>
  <c r="B89" i="2"/>
  <c r="A89" i="2"/>
  <c r="H88" i="2"/>
  <c r="G88" i="2"/>
  <c r="F88" i="2"/>
  <c r="E88" i="2"/>
  <c r="D88" i="2"/>
  <c r="C88" i="2"/>
  <c r="B88" i="2"/>
  <c r="A88" i="2"/>
  <c r="H87" i="2"/>
  <c r="G87" i="2"/>
  <c r="F87" i="2"/>
  <c r="E87" i="2"/>
  <c r="D87" i="2"/>
  <c r="C87" i="2"/>
  <c r="B87" i="2"/>
  <c r="A87" i="2"/>
  <c r="H86" i="2"/>
  <c r="G86" i="2"/>
  <c r="F86" i="2"/>
  <c r="E86" i="2"/>
  <c r="D86" i="2"/>
  <c r="C86" i="2"/>
  <c r="B86" i="2"/>
  <c r="A86" i="2"/>
  <c r="H85" i="2"/>
  <c r="G85" i="2"/>
  <c r="F85" i="2"/>
  <c r="E85" i="2"/>
  <c r="D85" i="2"/>
  <c r="C85" i="2"/>
  <c r="B85" i="2"/>
  <c r="A85" i="2"/>
  <c r="H84" i="2"/>
  <c r="G84" i="2"/>
  <c r="F84" i="2"/>
  <c r="E84" i="2"/>
  <c r="D84" i="2"/>
  <c r="C84" i="2"/>
  <c r="B84" i="2"/>
  <c r="A84" i="2"/>
  <c r="H83" i="2"/>
  <c r="G83" i="2"/>
  <c r="F83" i="2"/>
  <c r="E83" i="2"/>
  <c r="D83" i="2"/>
  <c r="C83" i="2"/>
  <c r="B83" i="2"/>
  <c r="A83" i="2"/>
  <c r="H82" i="2"/>
  <c r="G82" i="2"/>
  <c r="F82" i="2"/>
  <c r="E82" i="2"/>
  <c r="D82" i="2"/>
  <c r="C82" i="2"/>
  <c r="B82" i="2"/>
  <c r="A82" i="2"/>
  <c r="H81" i="2"/>
  <c r="G81" i="2"/>
  <c r="F81" i="2"/>
  <c r="E81" i="2"/>
  <c r="D81" i="2"/>
  <c r="C81" i="2"/>
  <c r="B81" i="2"/>
  <c r="A81" i="2"/>
  <c r="H80" i="2"/>
  <c r="G80" i="2"/>
  <c r="F80" i="2"/>
  <c r="E80" i="2"/>
  <c r="D80" i="2"/>
  <c r="C80" i="2"/>
  <c r="B80" i="2"/>
  <c r="A80" i="2"/>
  <c r="H79" i="2"/>
  <c r="G79" i="2"/>
  <c r="F79" i="2"/>
  <c r="E79" i="2"/>
  <c r="D79" i="2"/>
  <c r="C79" i="2"/>
  <c r="B79" i="2"/>
  <c r="A79" i="2"/>
  <c r="H78" i="2"/>
  <c r="G78" i="2"/>
  <c r="F78" i="2"/>
  <c r="E78" i="2"/>
  <c r="D78" i="2"/>
  <c r="C78" i="2"/>
  <c r="B78" i="2"/>
  <c r="A78" i="2"/>
  <c r="H77" i="2"/>
  <c r="G77" i="2"/>
  <c r="F77" i="2"/>
  <c r="E77" i="2"/>
  <c r="D77" i="2"/>
  <c r="C77" i="2"/>
  <c r="B77" i="2"/>
  <c r="A77" i="2"/>
  <c r="H76" i="2"/>
  <c r="G76" i="2"/>
  <c r="F76" i="2"/>
  <c r="E76" i="2"/>
  <c r="D76" i="2"/>
  <c r="C76" i="2"/>
  <c r="B76" i="2"/>
  <c r="A76" i="2"/>
  <c r="H75" i="2"/>
  <c r="G75" i="2"/>
  <c r="F75" i="2"/>
  <c r="E75" i="2"/>
  <c r="D75" i="2"/>
  <c r="C75" i="2"/>
  <c r="B75" i="2"/>
  <c r="A75" i="2"/>
  <c r="H74" i="2"/>
  <c r="G74" i="2"/>
  <c r="F74" i="2"/>
  <c r="E74" i="2"/>
  <c r="D74" i="2"/>
  <c r="C74" i="2"/>
  <c r="B74" i="2"/>
  <c r="A74" i="2"/>
  <c r="H73" i="2"/>
  <c r="G73" i="2"/>
  <c r="F73" i="2"/>
  <c r="E73" i="2"/>
  <c r="D73" i="2"/>
  <c r="C73" i="2"/>
  <c r="B73" i="2"/>
  <c r="A73" i="2"/>
  <c r="H72" i="2"/>
  <c r="G72" i="2"/>
  <c r="F72" i="2"/>
  <c r="E72" i="2"/>
  <c r="D72" i="2"/>
  <c r="C72" i="2"/>
  <c r="B72" i="2"/>
  <c r="A72" i="2"/>
  <c r="H71" i="2"/>
  <c r="G71" i="2"/>
  <c r="F71" i="2"/>
  <c r="E71" i="2"/>
  <c r="D71" i="2"/>
  <c r="C71" i="2"/>
  <c r="B71" i="2"/>
  <c r="A71" i="2"/>
  <c r="H70" i="2"/>
  <c r="G70" i="2"/>
  <c r="F70" i="2"/>
  <c r="E70" i="2"/>
  <c r="D70" i="2"/>
  <c r="C70" i="2"/>
  <c r="B70" i="2"/>
  <c r="A70" i="2"/>
  <c r="H69" i="2"/>
  <c r="G69" i="2"/>
  <c r="F69" i="2"/>
  <c r="E69" i="2"/>
  <c r="D69" i="2"/>
  <c r="C69" i="2"/>
  <c r="B69" i="2"/>
  <c r="A69" i="2"/>
  <c r="H68" i="2"/>
  <c r="G68" i="2"/>
  <c r="F68" i="2"/>
  <c r="E68" i="2"/>
  <c r="D68" i="2"/>
  <c r="C68" i="2"/>
  <c r="B68" i="2"/>
  <c r="A68" i="2"/>
  <c r="H67" i="2"/>
  <c r="G67" i="2"/>
  <c r="F67" i="2"/>
  <c r="E67" i="2"/>
  <c r="D67" i="2"/>
  <c r="C67" i="2"/>
  <c r="B67" i="2"/>
  <c r="A67" i="2"/>
  <c r="H66" i="2"/>
  <c r="G66" i="2"/>
  <c r="F66" i="2"/>
  <c r="E66" i="2"/>
  <c r="D66" i="2"/>
  <c r="C66" i="2"/>
  <c r="B66" i="2"/>
  <c r="A66" i="2"/>
  <c r="H65" i="2"/>
  <c r="G65" i="2"/>
  <c r="F65" i="2"/>
  <c r="E65" i="2"/>
  <c r="D65" i="2"/>
  <c r="C65" i="2"/>
  <c r="B65" i="2"/>
  <c r="A65" i="2"/>
  <c r="H64" i="2"/>
  <c r="G64" i="2"/>
  <c r="F64" i="2"/>
  <c r="E64" i="2"/>
  <c r="D64" i="2"/>
  <c r="C64" i="2"/>
  <c r="B64" i="2"/>
  <c r="A64" i="2"/>
  <c r="H63" i="2"/>
  <c r="G63" i="2"/>
  <c r="F63" i="2"/>
  <c r="E63" i="2"/>
  <c r="D63" i="2"/>
  <c r="C63" i="2"/>
  <c r="B63" i="2"/>
  <c r="A63" i="2"/>
  <c r="H62" i="2"/>
  <c r="G62" i="2"/>
  <c r="F62" i="2"/>
  <c r="E62" i="2"/>
  <c r="H65" i="3" s="1"/>
  <c r="D62" i="2"/>
  <c r="C62" i="2"/>
  <c r="B62" i="2"/>
  <c r="A62" i="2"/>
  <c r="O62" i="1"/>
  <c r="T96" i="2" s="1"/>
  <c r="O63" i="1"/>
  <c r="T72" i="2" s="1"/>
  <c r="O64" i="1"/>
  <c r="I64" i="2" s="1"/>
  <c r="O65" i="1"/>
  <c r="T106" i="2" s="1"/>
  <c r="O66" i="1"/>
  <c r="T87" i="2" s="1"/>
  <c r="O67" i="1"/>
  <c r="T91" i="2" s="1"/>
  <c r="O68" i="1"/>
  <c r="T100" i="2" s="1"/>
  <c r="O69" i="1"/>
  <c r="I69" i="2" s="1"/>
  <c r="O70" i="1"/>
  <c r="T86" i="2" s="1"/>
  <c r="O71" i="1"/>
  <c r="I71" i="2" s="1"/>
  <c r="O72" i="1"/>
  <c r="I72" i="2" s="1"/>
  <c r="O73" i="1"/>
  <c r="T78" i="2" s="1"/>
  <c r="O74" i="1"/>
  <c r="I74" i="2" s="1"/>
  <c r="O75" i="1"/>
  <c r="T95" i="2" s="1"/>
  <c r="O76" i="1"/>
  <c r="I76" i="2" s="1"/>
  <c r="O77" i="1"/>
  <c r="I77" i="2" s="1"/>
  <c r="O78" i="1"/>
  <c r="T68" i="2" s="1"/>
  <c r="O79" i="1"/>
  <c r="T62" i="2" s="1"/>
  <c r="O80" i="1"/>
  <c r="I80" i="2" s="1"/>
  <c r="O81" i="1"/>
  <c r="T71" i="2" s="1"/>
  <c r="O82" i="1"/>
  <c r="T77" i="2" s="1"/>
  <c r="O83" i="1"/>
  <c r="T102" i="2" s="1"/>
  <c r="O84" i="1"/>
  <c r="T63" i="2" s="1"/>
  <c r="O85" i="1"/>
  <c r="I85" i="2" s="1"/>
  <c r="O86" i="1"/>
  <c r="T82" i="2" s="1"/>
  <c r="O87" i="1"/>
  <c r="I87" i="2" s="1"/>
  <c r="O88" i="1"/>
  <c r="I88" i="2" s="1"/>
  <c r="O89" i="1"/>
  <c r="T97" i="2" s="1"/>
  <c r="O90" i="1"/>
  <c r="I90" i="2" s="1"/>
  <c r="O91" i="1"/>
  <c r="I91" i="2" s="1"/>
  <c r="O92" i="1"/>
  <c r="I92" i="2" s="1"/>
  <c r="O93" i="1"/>
  <c r="I93" i="2" s="1"/>
  <c r="O94" i="1"/>
  <c r="T83" i="2" s="1"/>
  <c r="O95" i="1"/>
  <c r="T88" i="2" s="1"/>
  <c r="O96" i="1"/>
  <c r="I96" i="2" s="1"/>
  <c r="O97" i="1"/>
  <c r="T76" i="2" s="1"/>
  <c r="O98" i="1"/>
  <c r="T80" i="2" s="1"/>
  <c r="O99" i="1"/>
  <c r="T93" i="2" s="1"/>
  <c r="O100" i="1"/>
  <c r="T90" i="2" s="1"/>
  <c r="O101" i="1"/>
  <c r="I101" i="2" s="1"/>
  <c r="O102" i="1"/>
  <c r="T89" i="2" s="1"/>
  <c r="O103" i="1"/>
  <c r="I103" i="2" s="1"/>
  <c r="O104" i="1"/>
  <c r="I104" i="2" s="1"/>
  <c r="O105" i="1"/>
  <c r="T111" i="2" s="1"/>
  <c r="O106" i="1"/>
  <c r="I106" i="2" s="1"/>
  <c r="O107" i="1"/>
  <c r="I107" i="2" s="1"/>
  <c r="O108" i="1"/>
  <c r="I108" i="2" s="1"/>
  <c r="O109" i="1"/>
  <c r="I109" i="2" s="1"/>
  <c r="O110" i="1"/>
  <c r="T101" i="2" s="1"/>
  <c r="O111" i="1"/>
  <c r="T73" i="2" s="1"/>
  <c r="O3" i="1"/>
  <c r="T3" i="2" s="1"/>
  <c r="O4" i="1"/>
  <c r="I4" i="2" s="1"/>
  <c r="O5" i="1"/>
  <c r="T51" i="2" s="1"/>
  <c r="O6" i="1"/>
  <c r="T26" i="2" s="1"/>
  <c r="O7" i="1"/>
  <c r="T46" i="2" s="1"/>
  <c r="O8" i="1"/>
  <c r="T45" i="2" s="1"/>
  <c r="O9" i="1"/>
  <c r="T18" i="2" s="1"/>
  <c r="O10" i="1"/>
  <c r="T19" i="2" s="1"/>
  <c r="O11" i="1"/>
  <c r="T2" i="2" s="1"/>
  <c r="O12" i="1"/>
  <c r="T47" i="2" s="1"/>
  <c r="O13" i="1"/>
  <c r="I13" i="2" s="1"/>
  <c r="O14" i="1"/>
  <c r="T5" i="2" s="1"/>
  <c r="O15" i="1"/>
  <c r="I15" i="2" s="1"/>
  <c r="O16" i="1"/>
  <c r="T12" i="2" s="1"/>
  <c r="O17" i="1"/>
  <c r="T43" i="2" s="1"/>
  <c r="O18" i="1"/>
  <c r="T11" i="2" s="1"/>
  <c r="O19" i="1"/>
  <c r="T35" i="2" s="1"/>
  <c r="O20" i="1"/>
  <c r="I20" i="2" s="1"/>
  <c r="O21" i="1"/>
  <c r="T20" i="2" s="1"/>
  <c r="O22" i="1"/>
  <c r="T48" i="2" s="1"/>
  <c r="O23" i="1"/>
  <c r="T15" i="2" s="1"/>
  <c r="O24" i="1"/>
  <c r="T23" i="2" s="1"/>
  <c r="O25" i="1"/>
  <c r="T29" i="2" s="1"/>
  <c r="O26" i="1"/>
  <c r="T10" i="2" s="1"/>
  <c r="O27" i="1"/>
  <c r="T7" i="2" s="1"/>
  <c r="O28" i="1"/>
  <c r="T40" i="2" s="1"/>
  <c r="O29" i="1"/>
  <c r="I29" i="2" s="1"/>
  <c r="O30" i="1"/>
  <c r="T14" i="2" s="1"/>
  <c r="O31" i="1"/>
  <c r="I31" i="2" s="1"/>
  <c r="O32" i="1"/>
  <c r="T24" i="2" s="1"/>
  <c r="O33" i="1"/>
  <c r="T41" i="2" s="1"/>
  <c r="O34" i="1"/>
  <c r="T17" i="2" s="1"/>
  <c r="O35" i="1"/>
  <c r="T50" i="2" s="1"/>
  <c r="O36" i="1"/>
  <c r="T32" i="2" s="1"/>
  <c r="O37" i="1"/>
  <c r="T16" i="2" s="1"/>
  <c r="O38" i="1"/>
  <c r="T9" i="2" s="1"/>
  <c r="O39" i="1"/>
  <c r="T30" i="2" s="1"/>
  <c r="O40" i="1"/>
  <c r="T34" i="2" s="1"/>
  <c r="O41" i="1"/>
  <c r="T44" i="2" s="1"/>
  <c r="O42" i="1"/>
  <c r="T13" i="2" s="1"/>
  <c r="O43" i="1"/>
  <c r="T37" i="2" s="1"/>
  <c r="O44" i="1"/>
  <c r="T39" i="2" s="1"/>
  <c r="O45" i="1"/>
  <c r="I45" i="2" s="1"/>
  <c r="O46" i="1"/>
  <c r="T6" i="2" s="1"/>
  <c r="O47" i="1"/>
  <c r="I47" i="2" s="1"/>
  <c r="O48" i="1"/>
  <c r="T49" i="2" s="1"/>
  <c r="O49" i="1"/>
  <c r="T33" i="2" s="1"/>
  <c r="O50" i="1"/>
  <c r="T25" i="2" s="1"/>
  <c r="O51" i="1"/>
  <c r="T27" i="2" s="1"/>
  <c r="O2" i="1"/>
  <c r="T28" i="2" s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I51" i="2"/>
  <c r="H51" i="2"/>
  <c r="G51" i="2"/>
  <c r="F51" i="2"/>
  <c r="E51" i="2"/>
  <c r="D51" i="2"/>
  <c r="C51" i="2"/>
  <c r="B51" i="2"/>
  <c r="A51" i="2"/>
  <c r="I50" i="2"/>
  <c r="H50" i="2"/>
  <c r="G50" i="2"/>
  <c r="F50" i="2"/>
  <c r="E50" i="2"/>
  <c r="D50" i="2"/>
  <c r="C50" i="2"/>
  <c r="B50" i="2"/>
  <c r="A50" i="2"/>
  <c r="H49" i="2"/>
  <c r="G49" i="2"/>
  <c r="F49" i="2"/>
  <c r="E49" i="2"/>
  <c r="D49" i="2"/>
  <c r="C49" i="2"/>
  <c r="B49" i="2"/>
  <c r="A49" i="2"/>
  <c r="H48" i="2"/>
  <c r="G48" i="2"/>
  <c r="F48" i="2"/>
  <c r="E48" i="2"/>
  <c r="D48" i="2"/>
  <c r="C48" i="2"/>
  <c r="B48" i="2"/>
  <c r="A48" i="2"/>
  <c r="H47" i="2"/>
  <c r="G47" i="2"/>
  <c r="F47" i="2"/>
  <c r="E47" i="2"/>
  <c r="D47" i="2"/>
  <c r="C47" i="2"/>
  <c r="B47" i="2"/>
  <c r="A47" i="2"/>
  <c r="H46" i="2"/>
  <c r="G46" i="2"/>
  <c r="F46" i="2"/>
  <c r="E46" i="2"/>
  <c r="D46" i="2"/>
  <c r="C46" i="2"/>
  <c r="B46" i="2"/>
  <c r="A46" i="2"/>
  <c r="H45" i="2"/>
  <c r="G45" i="2"/>
  <c r="F45" i="2"/>
  <c r="E45" i="2"/>
  <c r="D45" i="2"/>
  <c r="C45" i="2"/>
  <c r="B45" i="2"/>
  <c r="A45" i="2"/>
  <c r="H44" i="2"/>
  <c r="G44" i="2"/>
  <c r="F44" i="2"/>
  <c r="E44" i="2"/>
  <c r="D44" i="2"/>
  <c r="C44" i="2"/>
  <c r="B44" i="2"/>
  <c r="A44" i="2"/>
  <c r="H43" i="2"/>
  <c r="G43" i="2"/>
  <c r="F43" i="2"/>
  <c r="E43" i="2"/>
  <c r="D43" i="2"/>
  <c r="C43" i="2"/>
  <c r="B43" i="2"/>
  <c r="A43" i="2"/>
  <c r="I42" i="2"/>
  <c r="H42" i="2"/>
  <c r="G42" i="2"/>
  <c r="F42" i="2"/>
  <c r="E42" i="2"/>
  <c r="D42" i="2"/>
  <c r="C42" i="2"/>
  <c r="B42" i="2"/>
  <c r="A42" i="2"/>
  <c r="H41" i="2"/>
  <c r="G41" i="2"/>
  <c r="F41" i="2"/>
  <c r="E41" i="2"/>
  <c r="D41" i="2"/>
  <c r="C41" i="2"/>
  <c r="B41" i="2"/>
  <c r="A41" i="2"/>
  <c r="I40" i="2"/>
  <c r="H40" i="2"/>
  <c r="G40" i="2"/>
  <c r="F40" i="2"/>
  <c r="E40" i="2"/>
  <c r="D40" i="2"/>
  <c r="C40" i="2"/>
  <c r="B40" i="2"/>
  <c r="A40" i="2"/>
  <c r="H39" i="2"/>
  <c r="G39" i="2"/>
  <c r="F39" i="2"/>
  <c r="E39" i="2"/>
  <c r="D39" i="2"/>
  <c r="C39" i="2"/>
  <c r="B39" i="2"/>
  <c r="A39" i="2"/>
  <c r="H38" i="2"/>
  <c r="G38" i="2"/>
  <c r="F38" i="2"/>
  <c r="E38" i="2"/>
  <c r="D38" i="2"/>
  <c r="C38" i="2"/>
  <c r="B38" i="2"/>
  <c r="A38" i="2"/>
  <c r="H37" i="2"/>
  <c r="G37" i="2"/>
  <c r="F37" i="2"/>
  <c r="E37" i="2"/>
  <c r="D37" i="2"/>
  <c r="C37" i="2"/>
  <c r="B37" i="2"/>
  <c r="A37" i="2"/>
  <c r="H36" i="2"/>
  <c r="G36" i="2"/>
  <c r="F36" i="2"/>
  <c r="E36" i="2"/>
  <c r="D36" i="2"/>
  <c r="C36" i="2"/>
  <c r="B36" i="2"/>
  <c r="A36" i="2"/>
  <c r="I35" i="2"/>
  <c r="H35" i="2"/>
  <c r="G35" i="2"/>
  <c r="F35" i="2"/>
  <c r="E35" i="2"/>
  <c r="D35" i="2"/>
  <c r="C35" i="2"/>
  <c r="B35" i="2"/>
  <c r="A35" i="2"/>
  <c r="H34" i="2"/>
  <c r="G34" i="2"/>
  <c r="F34" i="2"/>
  <c r="E34" i="2"/>
  <c r="D34" i="2"/>
  <c r="C34" i="2"/>
  <c r="B34" i="2"/>
  <c r="A34" i="2"/>
  <c r="H33" i="2"/>
  <c r="G33" i="2"/>
  <c r="F33" i="2"/>
  <c r="E33" i="2"/>
  <c r="D33" i="2"/>
  <c r="C33" i="2"/>
  <c r="B33" i="2"/>
  <c r="A33" i="2"/>
  <c r="H32" i="2"/>
  <c r="G32" i="2"/>
  <c r="F32" i="2"/>
  <c r="E32" i="2"/>
  <c r="D32" i="2"/>
  <c r="C32" i="2"/>
  <c r="B32" i="2"/>
  <c r="A32" i="2"/>
  <c r="H31" i="2"/>
  <c r="G31" i="2"/>
  <c r="F31" i="2"/>
  <c r="E31" i="2"/>
  <c r="D31" i="2"/>
  <c r="C31" i="2"/>
  <c r="B31" i="2"/>
  <c r="A31" i="2"/>
  <c r="I30" i="2"/>
  <c r="H30" i="2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H24" i="2"/>
  <c r="G24" i="2"/>
  <c r="F24" i="2"/>
  <c r="E24" i="2"/>
  <c r="D24" i="2"/>
  <c r="C24" i="2"/>
  <c r="B24" i="2"/>
  <c r="A24" i="2"/>
  <c r="I23" i="2"/>
  <c r="H23" i="2"/>
  <c r="G23" i="2"/>
  <c r="F23" i="2"/>
  <c r="E23" i="2"/>
  <c r="D23" i="2"/>
  <c r="C23" i="2"/>
  <c r="B23" i="2"/>
  <c r="A23" i="2"/>
  <c r="I22" i="2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H20" i="2"/>
  <c r="G20" i="2"/>
  <c r="F20" i="2"/>
  <c r="E20" i="2"/>
  <c r="D20" i="2"/>
  <c r="C20" i="2"/>
  <c r="B20" i="2"/>
  <c r="A20" i="2"/>
  <c r="I19" i="2"/>
  <c r="H19" i="2"/>
  <c r="G19" i="2"/>
  <c r="F19" i="2"/>
  <c r="E19" i="2"/>
  <c r="D19" i="2"/>
  <c r="C19" i="2"/>
  <c r="B19" i="2"/>
  <c r="A19" i="2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I14" i="2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I10" i="2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H8" i="2"/>
  <c r="G8" i="2"/>
  <c r="F8" i="2"/>
  <c r="E8" i="2"/>
  <c r="D8" i="2"/>
  <c r="C8" i="2"/>
  <c r="B8" i="2"/>
  <c r="A8" i="2"/>
  <c r="I7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I3" i="2"/>
  <c r="H3" i="2"/>
  <c r="G3" i="2"/>
  <c r="F3" i="2"/>
  <c r="E3" i="2"/>
  <c r="D3" i="2"/>
  <c r="C3" i="2"/>
  <c r="B3" i="2"/>
  <c r="A3" i="2"/>
  <c r="H2" i="2"/>
  <c r="G2" i="2"/>
  <c r="F2" i="2"/>
  <c r="E2" i="2"/>
  <c r="D2" i="2"/>
  <c r="C2" i="2"/>
  <c r="B2" i="2"/>
  <c r="A2" i="2"/>
  <c r="B11" i="6"/>
  <c r="B10" i="6"/>
  <c r="T149" i="2" l="1"/>
  <c r="T151" i="2"/>
  <c r="I169" i="2"/>
  <c r="T138" i="2"/>
  <c r="T143" i="2"/>
  <c r="I135" i="2"/>
  <c r="T129" i="2"/>
  <c r="T158" i="2"/>
  <c r="T144" i="2"/>
  <c r="T122" i="2"/>
  <c r="T137" i="2"/>
  <c r="I160" i="2"/>
  <c r="D126" i="3" s="1"/>
  <c r="I144" i="2"/>
  <c r="I128" i="2"/>
  <c r="H126" i="3" s="1"/>
  <c r="T161" i="2"/>
  <c r="I165" i="2"/>
  <c r="I149" i="2"/>
  <c r="I133" i="2"/>
  <c r="G126" i="3" s="1"/>
  <c r="I156" i="2"/>
  <c r="T150" i="2"/>
  <c r="T123" i="2"/>
  <c r="T142" i="2"/>
  <c r="T141" i="2"/>
  <c r="B121" i="5"/>
  <c r="D121" i="5" s="1"/>
  <c r="H128" i="3"/>
  <c r="B121" i="4"/>
  <c r="F123" i="4"/>
  <c r="B124" i="5"/>
  <c r="E124" i="5" s="1"/>
  <c r="G122" i="4"/>
  <c r="F124" i="4"/>
  <c r="E121" i="4"/>
  <c r="G123" i="4"/>
  <c r="T164" i="2"/>
  <c r="T163" i="2"/>
  <c r="E127" i="3"/>
  <c r="B126" i="5"/>
  <c r="E126" i="5" s="1"/>
  <c r="B122" i="4"/>
  <c r="G121" i="4"/>
  <c r="G127" i="3"/>
  <c r="B123" i="6"/>
  <c r="B125" i="6" s="1"/>
  <c r="D122" i="4"/>
  <c r="C122" i="4"/>
  <c r="G124" i="4"/>
  <c r="H121" i="3"/>
  <c r="F122" i="3"/>
  <c r="E122" i="4"/>
  <c r="B122" i="5"/>
  <c r="E122" i="5" s="1"/>
  <c r="H122" i="3"/>
  <c r="F122" i="4"/>
  <c r="B123" i="5"/>
  <c r="E123" i="5" s="1"/>
  <c r="H124" i="3"/>
  <c r="B123" i="4"/>
  <c r="C123" i="4"/>
  <c r="B125" i="5"/>
  <c r="E125" i="5" s="1"/>
  <c r="D123" i="4"/>
  <c r="E123" i="4"/>
  <c r="E125" i="3"/>
  <c r="C121" i="4"/>
  <c r="H123" i="3"/>
  <c r="C123" i="3"/>
  <c r="D121" i="4"/>
  <c r="B124" i="4"/>
  <c r="C124" i="4"/>
  <c r="B122" i="6"/>
  <c r="B124" i="6" s="1"/>
  <c r="C125" i="3"/>
  <c r="F121" i="4"/>
  <c r="D124" i="4"/>
  <c r="E124" i="4"/>
  <c r="E121" i="5"/>
  <c r="B64" i="6"/>
  <c r="B63" i="6"/>
  <c r="E66" i="3"/>
  <c r="G68" i="3"/>
  <c r="H62" i="3"/>
  <c r="B62" i="4"/>
  <c r="D64" i="3"/>
  <c r="F64" i="4"/>
  <c r="D66" i="3"/>
  <c r="F66" i="3"/>
  <c r="H68" i="3"/>
  <c r="H69" i="3"/>
  <c r="E64" i="4"/>
  <c r="C64" i="3"/>
  <c r="C62" i="3"/>
  <c r="E64" i="3"/>
  <c r="G66" i="3"/>
  <c r="B69" i="3"/>
  <c r="C62" i="4"/>
  <c r="G64" i="4"/>
  <c r="B63" i="5"/>
  <c r="E63" i="5" s="1"/>
  <c r="D62" i="3"/>
  <c r="F64" i="3"/>
  <c r="H66" i="3"/>
  <c r="C69" i="3"/>
  <c r="D62" i="4"/>
  <c r="B65" i="4"/>
  <c r="B64" i="5"/>
  <c r="E64" i="5" s="1"/>
  <c r="E62" i="3"/>
  <c r="G64" i="3"/>
  <c r="D69" i="3"/>
  <c r="E62" i="4"/>
  <c r="C65" i="4"/>
  <c r="B65" i="5"/>
  <c r="E65" i="5" s="1"/>
  <c r="F62" i="3"/>
  <c r="H64" i="3"/>
  <c r="E69" i="3"/>
  <c r="F62" i="4"/>
  <c r="D65" i="4"/>
  <c r="B66" i="5"/>
  <c r="E66" i="5" s="1"/>
  <c r="G62" i="3"/>
  <c r="B65" i="3"/>
  <c r="F69" i="3"/>
  <c r="G62" i="4"/>
  <c r="E65" i="4"/>
  <c r="B67" i="5"/>
  <c r="C65" i="3"/>
  <c r="G69" i="3"/>
  <c r="B63" i="4"/>
  <c r="F65" i="4"/>
  <c r="B63" i="3"/>
  <c r="D65" i="3"/>
  <c r="C63" i="4"/>
  <c r="G65" i="4"/>
  <c r="C63" i="3"/>
  <c r="E65" i="3"/>
  <c r="D63" i="4"/>
  <c r="D63" i="3"/>
  <c r="F65" i="3"/>
  <c r="E63" i="4"/>
  <c r="E63" i="3"/>
  <c r="G65" i="3"/>
  <c r="B68" i="3"/>
  <c r="F63" i="4"/>
  <c r="F63" i="3"/>
  <c r="C68" i="3"/>
  <c r="G63" i="4"/>
  <c r="G63" i="3"/>
  <c r="B66" i="3"/>
  <c r="D68" i="3"/>
  <c r="B64" i="4"/>
  <c r="H63" i="3"/>
  <c r="C66" i="3"/>
  <c r="E68" i="3"/>
  <c r="C64" i="4"/>
  <c r="B64" i="3"/>
  <c r="F68" i="3"/>
  <c r="D64" i="4"/>
  <c r="B62" i="3"/>
  <c r="B62" i="5"/>
  <c r="D62" i="5" s="1"/>
  <c r="D65" i="5"/>
  <c r="C127" i="3"/>
  <c r="B123" i="3"/>
  <c r="D125" i="3"/>
  <c r="F127" i="3"/>
  <c r="H127" i="3"/>
  <c r="C121" i="3"/>
  <c r="E123" i="3"/>
  <c r="G125" i="3"/>
  <c r="B128" i="3"/>
  <c r="D123" i="3"/>
  <c r="D121" i="3"/>
  <c r="F123" i="3"/>
  <c r="H125" i="3"/>
  <c r="C128" i="3"/>
  <c r="E121" i="3"/>
  <c r="G123" i="3"/>
  <c r="D128" i="3"/>
  <c r="F125" i="3"/>
  <c r="F121" i="3"/>
  <c r="C126" i="3"/>
  <c r="E128" i="3"/>
  <c r="B121" i="3"/>
  <c r="G121" i="3"/>
  <c r="B124" i="3"/>
  <c r="F128" i="3"/>
  <c r="C124" i="3"/>
  <c r="G128" i="3"/>
  <c r="B122" i="3"/>
  <c r="D124" i="3"/>
  <c r="C122" i="3"/>
  <c r="E124" i="3"/>
  <c r="D122" i="3"/>
  <c r="F124" i="3"/>
  <c r="E122" i="3"/>
  <c r="G124" i="3"/>
  <c r="B127" i="3"/>
  <c r="G122" i="3"/>
  <c r="B125" i="3"/>
  <c r="D127" i="3"/>
  <c r="I18" i="2"/>
  <c r="I38" i="2"/>
  <c r="T104" i="2"/>
  <c r="I12" i="2"/>
  <c r="I27" i="2"/>
  <c r="T8" i="2"/>
  <c r="T21" i="2"/>
  <c r="I9" i="2"/>
  <c r="T4" i="2"/>
  <c r="I44" i="2"/>
  <c r="I11" i="2"/>
  <c r="I24" i="2"/>
  <c r="I39" i="2"/>
  <c r="T67" i="2"/>
  <c r="I26" i="2"/>
  <c r="T94" i="2"/>
  <c r="I6" i="2"/>
  <c r="I28" i="2"/>
  <c r="I43" i="2"/>
  <c r="I75" i="2"/>
  <c r="T75" i="2"/>
  <c r="T69" i="2"/>
  <c r="I8" i="2"/>
  <c r="I34" i="2"/>
  <c r="I37" i="2"/>
  <c r="I73" i="2"/>
  <c r="I89" i="2"/>
  <c r="I105" i="2"/>
  <c r="T36" i="2"/>
  <c r="T42" i="2"/>
  <c r="T38" i="2"/>
  <c r="T66" i="2"/>
  <c r="T98" i="2"/>
  <c r="T107" i="2"/>
  <c r="I82" i="2"/>
  <c r="I68" i="2"/>
  <c r="I84" i="2"/>
  <c r="I100" i="2"/>
  <c r="T65" i="2"/>
  <c r="T85" i="2"/>
  <c r="T99" i="2"/>
  <c r="I66" i="2"/>
  <c r="I98" i="2"/>
  <c r="I21" i="2"/>
  <c r="I70" i="2"/>
  <c r="I86" i="2"/>
  <c r="I102" i="2"/>
  <c r="T81" i="2"/>
  <c r="T103" i="2"/>
  <c r="T110" i="2"/>
  <c r="I63" i="2"/>
  <c r="I79" i="2"/>
  <c r="I95" i="2"/>
  <c r="I111" i="2"/>
  <c r="T105" i="2"/>
  <c r="T70" i="2"/>
  <c r="T108" i="2"/>
  <c r="I36" i="2"/>
  <c r="I5" i="2"/>
  <c r="I65" i="2"/>
  <c r="I81" i="2"/>
  <c r="I97" i="2"/>
  <c r="T64" i="2"/>
  <c r="T74" i="2"/>
  <c r="T109" i="2"/>
  <c r="I2" i="2"/>
  <c r="I67" i="2"/>
  <c r="I83" i="2"/>
  <c r="I99" i="2"/>
  <c r="T31" i="2"/>
  <c r="T22" i="2"/>
  <c r="I78" i="2"/>
  <c r="I94" i="2"/>
  <c r="I110" i="2"/>
  <c r="I62" i="2"/>
  <c r="T84" i="2"/>
  <c r="T79" i="2"/>
  <c r="T92" i="2"/>
  <c r="I17" i="2"/>
  <c r="I33" i="2"/>
  <c r="I49" i="2"/>
  <c r="I46" i="2"/>
  <c r="I16" i="2"/>
  <c r="I32" i="2"/>
  <c r="I48" i="2"/>
  <c r="I25" i="2"/>
  <c r="I41" i="2"/>
  <c r="H4" i="3"/>
  <c r="B6" i="5"/>
  <c r="D6" i="5" s="1"/>
  <c r="C9" i="3"/>
  <c r="H6" i="3"/>
  <c r="G2" i="4"/>
  <c r="E5" i="4"/>
  <c r="E8" i="3"/>
  <c r="B19" i="7" s="1"/>
  <c r="F9" i="3"/>
  <c r="H5" i="3"/>
  <c r="F4" i="3"/>
  <c r="F8" i="3"/>
  <c r="G8" i="3"/>
  <c r="F5" i="4"/>
  <c r="D6" i="3"/>
  <c r="B7" i="5"/>
  <c r="B2" i="3"/>
  <c r="B8" i="7" s="1"/>
  <c r="D4" i="3"/>
  <c r="F6" i="3"/>
  <c r="H8" i="3"/>
  <c r="D3" i="4"/>
  <c r="B2" i="5"/>
  <c r="C4" i="3"/>
  <c r="E6" i="3"/>
  <c r="B13" i="7" s="1"/>
  <c r="C3" i="4"/>
  <c r="G5" i="4"/>
  <c r="C2" i="3"/>
  <c r="E4" i="3"/>
  <c r="G6" i="3"/>
  <c r="B9" i="3"/>
  <c r="E3" i="4"/>
  <c r="E2" i="3"/>
  <c r="G4" i="3"/>
  <c r="D9" i="3"/>
  <c r="G3" i="4"/>
  <c r="B3" i="5"/>
  <c r="F3" i="4"/>
  <c r="F2" i="3"/>
  <c r="E9" i="3"/>
  <c r="B20" i="7" s="1"/>
  <c r="B4" i="4"/>
  <c r="D2" i="3"/>
  <c r="G2" i="3"/>
  <c r="H2" i="3"/>
  <c r="B7" i="7" s="1"/>
  <c r="C5" i="3"/>
  <c r="G9" i="3"/>
  <c r="D4" i="4"/>
  <c r="B4" i="5"/>
  <c r="B3" i="3"/>
  <c r="D5" i="3"/>
  <c r="H9" i="3"/>
  <c r="E4" i="4"/>
  <c r="C3" i="3"/>
  <c r="E5" i="3"/>
  <c r="B2" i="4"/>
  <c r="F4" i="4"/>
  <c r="B5" i="3"/>
  <c r="D3" i="3"/>
  <c r="F5" i="3"/>
  <c r="C2" i="4"/>
  <c r="G4" i="4"/>
  <c r="B5" i="5"/>
  <c r="B4" i="3"/>
  <c r="E3" i="3"/>
  <c r="G5" i="3"/>
  <c r="B8" i="3"/>
  <c r="D2" i="4"/>
  <c r="B5" i="4"/>
  <c r="C4" i="4"/>
  <c r="F3" i="3"/>
  <c r="C8" i="3"/>
  <c r="E2" i="4"/>
  <c r="C5" i="4"/>
  <c r="G3" i="3"/>
  <c r="B6" i="3"/>
  <c r="D8" i="3"/>
  <c r="F2" i="4"/>
  <c r="D5" i="4"/>
  <c r="B3" i="4"/>
  <c r="H3" i="3"/>
  <c r="C6" i="3"/>
  <c r="C131" i="6"/>
  <c r="B70" i="6"/>
  <c r="C74" i="6"/>
  <c r="C75" i="6"/>
  <c r="C130" i="6"/>
  <c r="C78" i="6"/>
  <c r="B135" i="6"/>
  <c r="C72" i="6"/>
  <c r="C73" i="6"/>
  <c r="C135" i="6"/>
  <c r="B73" i="6"/>
  <c r="C133" i="6"/>
  <c r="B131" i="6"/>
  <c r="C137" i="6"/>
  <c r="B77" i="6"/>
  <c r="C129" i="6"/>
  <c r="C136" i="6"/>
  <c r="B75" i="6"/>
  <c r="B129" i="6"/>
  <c r="C71" i="6"/>
  <c r="C70" i="6"/>
  <c r="C76" i="6"/>
  <c r="B78" i="6"/>
  <c r="B72" i="6"/>
  <c r="C132" i="6"/>
  <c r="B132" i="6"/>
  <c r="B136" i="6"/>
  <c r="B74" i="6"/>
  <c r="C134" i="6"/>
  <c r="B134" i="6"/>
  <c r="B137" i="6"/>
  <c r="B130" i="6"/>
  <c r="B133" i="6"/>
  <c r="B71" i="6"/>
  <c r="B76" i="6"/>
  <c r="C77" i="6"/>
  <c r="F126" i="3" l="1"/>
  <c r="B126" i="3"/>
  <c r="E126" i="3"/>
  <c r="D124" i="5"/>
  <c r="D126" i="5"/>
  <c r="D122" i="5"/>
  <c r="D125" i="5"/>
  <c r="D123" i="5"/>
  <c r="D135" i="6"/>
  <c r="D133" i="6"/>
  <c r="D130" i="6"/>
  <c r="D136" i="6"/>
  <c r="D131" i="6"/>
  <c r="D137" i="6"/>
  <c r="D134" i="6"/>
  <c r="D132" i="6"/>
  <c r="D75" i="6"/>
  <c r="D74" i="6"/>
  <c r="D76" i="6"/>
  <c r="D71" i="6"/>
  <c r="D77" i="6"/>
  <c r="D72" i="6"/>
  <c r="D78" i="6"/>
  <c r="D73" i="6"/>
  <c r="D64" i="5"/>
  <c r="D63" i="5"/>
  <c r="E62" i="5"/>
  <c r="E67" i="5"/>
  <c r="D67" i="5"/>
  <c r="D66" i="5"/>
  <c r="H67" i="3"/>
  <c r="G67" i="3"/>
  <c r="F67" i="3"/>
  <c r="E67" i="3"/>
  <c r="D67" i="3"/>
  <c r="C67" i="3"/>
  <c r="B67" i="3"/>
  <c r="H7" i="3"/>
  <c r="F7" i="3"/>
  <c r="B7" i="3"/>
  <c r="B15" i="7" s="1"/>
  <c r="D7" i="3"/>
  <c r="C7" i="3"/>
  <c r="E7" i="3"/>
  <c r="B14" i="7" s="1"/>
  <c r="G7" i="3"/>
  <c r="B16" i="7" s="1"/>
  <c r="E6" i="5"/>
  <c r="E2" i="5"/>
  <c r="D2" i="5"/>
  <c r="E3" i="5"/>
  <c r="D3" i="5"/>
  <c r="E5" i="5"/>
  <c r="D5" i="5"/>
  <c r="E4" i="5"/>
  <c r="D4" i="5"/>
  <c r="B4" i="7"/>
  <c r="E7" i="5"/>
  <c r="D7" i="5"/>
  <c r="B10" i="7"/>
  <c r="B9" i="7"/>
  <c r="C13" i="6"/>
  <c r="C14" i="6"/>
  <c r="B15" i="6"/>
  <c r="B12" i="6"/>
  <c r="C12" i="6"/>
  <c r="B14" i="6"/>
  <c r="C11" i="6"/>
  <c r="C10" i="6"/>
  <c r="C18" i="6"/>
  <c r="B18" i="6"/>
  <c r="C16" i="6"/>
  <c r="B13" i="6"/>
  <c r="B17" i="6"/>
  <c r="C17" i="6"/>
  <c r="B16" i="6"/>
  <c r="C15" i="6"/>
  <c r="D13" i="6" l="1"/>
  <c r="D17" i="6"/>
  <c r="D12" i="6"/>
  <c r="D18" i="6"/>
  <c r="D14" i="6"/>
  <c r="D15" i="6"/>
  <c r="D16" i="6"/>
  <c r="D11" i="6"/>
</calcChain>
</file>

<file path=xl/sharedStrings.xml><?xml version="1.0" encoding="utf-8"?>
<sst xmlns="http://schemas.openxmlformats.org/spreadsheetml/2006/main" count="369" uniqueCount="112">
  <si>
    <t>run_id</t>
  </si>
  <si>
    <t>total_efficiency</t>
  </si>
  <si>
    <t>sheet_1_eff</t>
  </si>
  <si>
    <t>sheet_2_eff</t>
  </si>
  <si>
    <t>sheet_3_eff</t>
  </si>
  <si>
    <t>last_sheet_true_eff</t>
  </si>
  <si>
    <t>execution_time_ms</t>
  </si>
  <si>
    <t>total_waste_mm2</t>
  </si>
  <si>
    <t>sheets_used</t>
  </si>
  <si>
    <t>Efficiency per ms</t>
  </si>
  <si>
    <t>Waste per sheet</t>
  </si>
  <si>
    <t>Efficiency drop on last sheet</t>
  </si>
  <si>
    <t>run</t>
  </si>
  <si>
    <t>efikasnost_%</t>
  </si>
  <si>
    <t>ploca_1_%</t>
  </si>
  <si>
    <t>ploca_2_%</t>
  </si>
  <si>
    <t>ploca_3_%</t>
  </si>
  <si>
    <t>zadnja_ploca_%</t>
  </si>
  <si>
    <t>vrijeme_s</t>
  </si>
  <si>
    <t>otpad_m2</t>
  </si>
  <si>
    <t>pad_zadnje_%</t>
  </si>
  <si>
    <t>metrika</t>
  </si>
  <si>
    <t>min</t>
  </si>
  <si>
    <t>q1</t>
  </si>
  <si>
    <t>medijan</t>
  </si>
  <si>
    <t>prosjek</t>
  </si>
  <si>
    <t>q3</t>
  </si>
  <si>
    <t>max</t>
  </si>
  <si>
    <t>st_dev</t>
  </si>
  <si>
    <t>ukupna efikasnost (%)</t>
  </si>
  <si>
    <t>ploča 1 (%)</t>
  </si>
  <si>
    <t>ploča 2 (%)</t>
  </si>
  <si>
    <t>ploča 3 (%)</t>
  </si>
  <si>
    <t>zadnja ploča (%)</t>
  </si>
  <si>
    <t>pad zadnje ploče (%)</t>
  </si>
  <si>
    <t>vrijeme (s)</t>
  </si>
  <si>
    <t>otpad (m²)</t>
  </si>
  <si>
    <t>ploča</t>
  </si>
  <si>
    <t>ploča 1</t>
  </si>
  <si>
    <t>ploča 2</t>
  </si>
  <si>
    <t>ploča 3</t>
  </si>
  <si>
    <t>zadnja ploča</t>
  </si>
  <si>
    <t>referenca</t>
  </si>
  <si>
    <t>razlika</t>
  </si>
  <si>
    <t>razlika_%</t>
  </si>
  <si>
    <t>najbolji run:</t>
  </si>
  <si>
    <t>najgori run:</t>
  </si>
  <si>
    <t>najbolji row:</t>
  </si>
  <si>
    <t>najgori row:</t>
  </si>
  <si>
    <t>najbolji</t>
  </si>
  <si>
    <t>najgori</t>
  </si>
  <si>
    <t>run id</t>
  </si>
  <si>
    <t>pad na zadnjoj (%)</t>
  </si>
  <si>
    <t>vrijednost</t>
  </si>
  <si>
    <t>napomena</t>
  </si>
  <si>
    <t>prosjek efikasnost (%)</t>
  </si>
  <si>
    <t>statistika, red 2</t>
  </si>
  <si>
    <t>poboljšanje vs ref (pp)</t>
  </si>
  <si>
    <t>postotni poeni</t>
  </si>
  <si>
    <t>poboljšanje vs ref (%)</t>
  </si>
  <si>
    <t>relativno poboljšanje</t>
  </si>
  <si>
    <t>st. devijacija (%)</t>
  </si>
  <si>
    <t>konzistentnost</t>
  </si>
  <si>
    <t>minimum (%)</t>
  </si>
  <si>
    <t>najgori slučaj</t>
  </si>
  <si>
    <t>maksimum (%)</t>
  </si>
  <si>
    <t>najbolji slučaj</t>
  </si>
  <si>
    <t>raspon</t>
  </si>
  <si>
    <t>max - min</t>
  </si>
  <si>
    <t>efikasnost zadnje (%)</t>
  </si>
  <si>
    <t>prosječan pad (%)</t>
  </si>
  <si>
    <t>najbolji pad (%)</t>
  </si>
  <si>
    <t>minimalni pad = best</t>
  </si>
  <si>
    <t>najgori pad (%)</t>
  </si>
  <si>
    <t>maksimalni pad = worst</t>
  </si>
  <si>
    <t>vrijeme i otpad</t>
  </si>
  <si>
    <t>prosječno vrijeme (s)</t>
  </si>
  <si>
    <t>sekunde</t>
  </si>
  <si>
    <t>prosječan otpad (m²)</t>
  </si>
  <si>
    <t>kvadratni metri</t>
  </si>
  <si>
    <t>rezultati</t>
  </si>
  <si>
    <t>Column1</t>
  </si>
  <si>
    <t>Column2</t>
  </si>
  <si>
    <t>Column3</t>
  </si>
  <si>
    <t>helperi izračuni</t>
  </si>
  <si>
    <t>Minimum</t>
  </si>
  <si>
    <t>Q1 (25%)</t>
  </si>
  <si>
    <t>Medijan</t>
  </si>
  <si>
    <t>Prosjek</t>
  </si>
  <si>
    <t>Q3 (75%)</t>
  </si>
  <si>
    <t>Maksimum</t>
  </si>
  <si>
    <t>GuillotineStrip</t>
  </si>
  <si>
    <t>Helper</t>
  </si>
  <si>
    <t>Sheet 1 (%)</t>
  </si>
  <si>
    <t>Sheet 2 (%)</t>
  </si>
  <si>
    <t>Sheet 3 (%)</t>
  </si>
  <si>
    <t>Sheet 4 (%)</t>
  </si>
  <si>
    <t>Ukupna efikasnost (%)</t>
  </si>
  <si>
    <t xml:space="preserve">Max Eff preset ↑ </t>
  </si>
  <si>
    <t>Fast Prd preset ↓</t>
  </si>
  <si>
    <t>Balanced preset ↓</t>
  </si>
  <si>
    <t>Sorted&gt;</t>
  </si>
  <si>
    <t xml:space="preserve">Fast Prd preset ↑ </t>
  </si>
  <si>
    <t xml:space="preserve">Balanced preset ↑ </t>
  </si>
  <si>
    <t>MAX</t>
  </si>
  <si>
    <t>BALANCED</t>
  </si>
  <si>
    <t>FAST PROD</t>
  </si>
  <si>
    <t>Ref value</t>
  </si>
  <si>
    <t>Ploča 1 (%)</t>
  </si>
  <si>
    <t>Ploča 2 (%)</t>
  </si>
  <si>
    <t>Ploča 3 (%)</t>
  </si>
  <si>
    <t>Ploča 4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</si>
</sst>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0"/>
      <name val="Calibri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D5F4E6"/>
        <bgColor rgb="FFD5F4E6"/>
      </patternFill>
    </fill>
    <fill>
      <patternFill patternType="solid">
        <fgColor rgb="FFFADBD8"/>
        <bgColor rgb="FFFADBD8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3" tint="-0.249977111117893"/>
        <bgColor rgb="FF4ECDC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rgb="FF4ECDC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rgb="FF4ECDC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4ECDC4"/>
      </patternFill>
    </fill>
  </fills>
  <borders count="1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2" xfId="0" applyFill="1" applyBorder="1"/>
    <xf numFmtId="0" fontId="1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4" borderId="3" xfId="0" applyFill="1" applyBorder="1"/>
    <xf numFmtId="0" fontId="0" fillId="4" borderId="4" xfId="0" applyFill="1" applyBorder="1"/>
    <xf numFmtId="0" fontId="0" fillId="7" borderId="0" xfId="0" applyFill="1"/>
    <xf numFmtId="0" fontId="4" fillId="5" borderId="0" xfId="0" applyFont="1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 applyAlignment="1">
      <alignment horizontal="center" vertical="center"/>
    </xf>
    <xf numFmtId="0" fontId="0" fillId="10" borderId="0" xfId="0" applyFill="1"/>
    <xf numFmtId="0" fontId="0" fillId="11" borderId="0" xfId="0" applyFill="1"/>
    <xf numFmtId="0" fontId="4" fillId="5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0" borderId="0" xfId="0" applyAlignment="1">
      <alignment vertical="center"/>
    </xf>
    <xf numFmtId="0" fontId="1" fillId="5" borderId="0" xfId="0" applyFont="1" applyFill="1" applyAlignment="1">
      <alignment vertical="center"/>
    </xf>
    <xf numFmtId="0" fontId="4" fillId="5" borderId="1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0" fillId="4" borderId="8" xfId="0" applyFill="1" applyBorder="1"/>
    <xf numFmtId="0" fontId="0" fillId="10" borderId="0" xfId="0" applyFill="1" applyAlignment="1">
      <alignment horizontal="left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  <xf numFmtId="0" fontId="5" fillId="13" borderId="0" xfId="0" applyFont="1" applyFill="1"/>
    <xf numFmtId="0" fontId="0" fillId="13" borderId="0" xfId="0" applyFill="1"/>
    <xf numFmtId="0" fontId="5" fillId="10" borderId="0" xfId="0" applyFont="1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10" fillId="11" borderId="12" xfId="0" applyFont="1" applyFill="1" applyBorder="1"/>
    <xf numFmtId="0" fontId="10" fillId="11" borderId="0" xfId="0" applyFont="1" applyFill="1"/>
    <xf numFmtId="0" fontId="10" fillId="11" borderId="13" xfId="0" applyFont="1" applyFill="1" applyBorder="1"/>
    <xf numFmtId="0" fontId="3" fillId="5" borderId="12" xfId="0" applyFont="1" applyFill="1" applyBorder="1"/>
    <xf numFmtId="0" fontId="1" fillId="5" borderId="0" xfId="0" applyFont="1" applyFill="1"/>
    <xf numFmtId="0" fontId="1" fillId="5" borderId="13" xfId="0" applyFont="1" applyFill="1" applyBorder="1" applyAlignment="1">
      <alignment horizontal="center"/>
    </xf>
    <xf numFmtId="0" fontId="0" fillId="0" borderId="12" xfId="0" applyBorder="1"/>
    <xf numFmtId="2" fontId="0" fillId="0" borderId="0" xfId="0" applyNumberFormat="1" applyAlignment="1">
      <alignment horizontal="right"/>
    </xf>
    <xf numFmtId="0" fontId="0" fillId="0" borderId="13" xfId="0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17" borderId="12" xfId="0" applyFill="1" applyBorder="1"/>
    <xf numFmtId="2" fontId="0" fillId="17" borderId="0" xfId="0" applyNumberFormat="1" applyFill="1" applyAlignment="1">
      <alignment horizontal="right"/>
    </xf>
    <xf numFmtId="0" fontId="0" fillId="17" borderId="13" xfId="0" applyFill="1" applyBorder="1" applyAlignment="1">
      <alignment horizontal="right"/>
    </xf>
    <xf numFmtId="0" fontId="8" fillId="18" borderId="12" xfId="0" applyFont="1" applyFill="1" applyBorder="1"/>
    <xf numFmtId="0" fontId="8" fillId="18" borderId="0" xfId="0" applyFont="1" applyFill="1" applyAlignment="1">
      <alignment horizontal="right"/>
    </xf>
    <xf numFmtId="0" fontId="8" fillId="18" borderId="13" xfId="0" applyFont="1" applyFill="1" applyBorder="1" applyAlignment="1">
      <alignment horizontal="right"/>
    </xf>
    <xf numFmtId="0" fontId="0" fillId="0" borderId="13" xfId="0" applyBorder="1"/>
    <xf numFmtId="0" fontId="6" fillId="6" borderId="12" xfId="0" applyFont="1" applyFill="1" applyBorder="1"/>
    <xf numFmtId="0" fontId="6" fillId="6" borderId="0" xfId="0" applyFont="1" applyFill="1" applyAlignment="1">
      <alignment horizontal="left"/>
    </xf>
    <xf numFmtId="0" fontId="6" fillId="6" borderId="13" xfId="0" applyFont="1" applyFill="1" applyBorder="1"/>
    <xf numFmtId="0" fontId="9" fillId="19" borderId="12" xfId="0" applyFont="1" applyFill="1" applyBorder="1"/>
    <xf numFmtId="2" fontId="9" fillId="19" borderId="0" xfId="0" applyNumberFormat="1" applyFont="1" applyFill="1" applyAlignment="1">
      <alignment horizontal="right"/>
    </xf>
    <xf numFmtId="0" fontId="9" fillId="19" borderId="13" xfId="0" applyFont="1" applyFill="1" applyBorder="1" applyAlignment="1">
      <alignment horizontal="right"/>
    </xf>
    <xf numFmtId="0" fontId="8" fillId="20" borderId="12" xfId="0" applyFont="1" applyFill="1" applyBorder="1"/>
    <xf numFmtId="0" fontId="8" fillId="20" borderId="0" xfId="0" applyFont="1" applyFill="1" applyAlignment="1">
      <alignment horizontal="right"/>
    </xf>
    <xf numFmtId="0" fontId="8" fillId="20" borderId="13" xfId="0" applyFont="1" applyFill="1" applyBorder="1" applyAlignment="1">
      <alignment horizontal="right"/>
    </xf>
    <xf numFmtId="0" fontId="0" fillId="0" borderId="16" xfId="0" applyBorder="1"/>
    <xf numFmtId="0" fontId="0" fillId="10" borderId="0" xfId="0" applyFill="1" applyAlignment="1">
      <alignment horizontal="center" vertical="center"/>
    </xf>
    <xf numFmtId="0" fontId="2" fillId="5" borderId="9" xfId="0" applyFont="1" applyFill="1" applyBorder="1" applyAlignment="1">
      <alignment horizontal="center"/>
    </xf>
    <xf numFmtId="0" fontId="0" fillId="6" borderId="10" xfId="0" applyFill="1" applyBorder="1"/>
    <xf numFmtId="0" fontId="0" fillId="6" borderId="11" xfId="0" applyFill="1" applyBorder="1"/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</cellXfs>
  <cellStyles count="1">
    <cellStyle name="Normal" xfId="0" builtinId="0"/>
  </cellStyles>
  <dxfs count="126">
    <dxf>
      <fill>
        <patternFill patternType="solid">
          <fgColor rgb="FFFADBD8"/>
          <bgColor rgb="FFFADBD8"/>
        </patternFill>
      </fill>
    </dxf>
    <dxf>
      <fill>
        <patternFill patternType="solid">
          <fgColor rgb="FFD5F4E6"/>
          <bgColor rgb="FFD5F4E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ECDC4"/>
          <bgColor theme="3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FADBD8"/>
          <bgColor rgb="FFFADBD8"/>
        </patternFill>
      </fill>
    </dxf>
    <dxf>
      <fill>
        <patternFill patternType="solid">
          <fgColor rgb="FFD5F4E6"/>
          <bgColor rgb="FFD5F4E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ECDC4"/>
          <bgColor theme="3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FADBD8"/>
          <bgColor rgb="FFFADBD8"/>
        </patternFill>
      </fill>
    </dxf>
    <dxf>
      <fill>
        <patternFill patternType="solid">
          <fgColor rgb="FFD5F4E6"/>
          <bgColor rgb="FFD5F4E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ECDC4"/>
          <bgColor theme="3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ECDC4"/>
          <bgColor theme="3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ECDC4"/>
          <bgColor theme="3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ECDC4"/>
          <bgColor theme="3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ECDC4"/>
          <bgColor theme="3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ECDC4"/>
          <bgColor theme="3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ECDC4"/>
          <bgColor theme="3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ECDC4"/>
          <bgColor theme="3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ECDC4"/>
          <bgColor theme="3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ECDC4"/>
          <bgColor theme="3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ECDC4"/>
          <bgColor theme="3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ECDC4"/>
          <bgColor theme="3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ECDC4"/>
          <bgColor theme="3" tint="-0.249977111117893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fill>
        <patternFill patternType="solid">
          <fgColor indexed="64"/>
          <bgColor theme="3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3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3"/>
        </patternFill>
      </fill>
    </dxf>
    <dxf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ECDC4"/>
          <bgColor theme="3" tint="-0.249977111117893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fill>
        <patternFill patternType="solid">
          <fgColor indexed="64"/>
          <bgColor theme="3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3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3"/>
        </patternFill>
      </fill>
    </dxf>
    <dxf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ECDC4"/>
          <bgColor theme="3" tint="-0.249977111117893"/>
        </patternFill>
      </fill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3" tint="-0.249977111117893"/>
        </patternFill>
      </fill>
      <alignment horizont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3" tint="-0.249977111117893"/>
        </patternFill>
      </fill>
      <alignment horizont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3" tint="-0.249977111117893"/>
        </patternFill>
      </fill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ECDC4"/>
          <bgColor theme="3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Konzistentnost algoritma kroz 50 iteracija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podaci!$A$2:$A$51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podaci!$B$2:$B$51</c:f>
              <c:numCache>
                <c:formatCode>0.00</c:formatCode>
                <c:ptCount val="50"/>
                <c:pt idx="0">
                  <c:v>95.24</c:v>
                </c:pt>
                <c:pt idx="1">
                  <c:v>95.13</c:v>
                </c:pt>
                <c:pt idx="2">
                  <c:v>95.45</c:v>
                </c:pt>
                <c:pt idx="3">
                  <c:v>94.17</c:v>
                </c:pt>
                <c:pt idx="4">
                  <c:v>95.12</c:v>
                </c:pt>
                <c:pt idx="5">
                  <c:v>94.4</c:v>
                </c:pt>
                <c:pt idx="6">
                  <c:v>93.86</c:v>
                </c:pt>
                <c:pt idx="7">
                  <c:v>95.9</c:v>
                </c:pt>
                <c:pt idx="8">
                  <c:v>95.9</c:v>
                </c:pt>
                <c:pt idx="9">
                  <c:v>96.32</c:v>
                </c:pt>
                <c:pt idx="10">
                  <c:v>94.17</c:v>
                </c:pt>
                <c:pt idx="11">
                  <c:v>96.31</c:v>
                </c:pt>
                <c:pt idx="12">
                  <c:v>96.31</c:v>
                </c:pt>
                <c:pt idx="13">
                  <c:v>95.35</c:v>
                </c:pt>
                <c:pt idx="14">
                  <c:v>95.31</c:v>
                </c:pt>
                <c:pt idx="15">
                  <c:v>94.83</c:v>
                </c:pt>
                <c:pt idx="16">
                  <c:v>95.15</c:v>
                </c:pt>
                <c:pt idx="17">
                  <c:v>95.16</c:v>
                </c:pt>
                <c:pt idx="18">
                  <c:v>95.1</c:v>
                </c:pt>
                <c:pt idx="19">
                  <c:v>95.9</c:v>
                </c:pt>
                <c:pt idx="20">
                  <c:v>94.47</c:v>
                </c:pt>
                <c:pt idx="21">
                  <c:v>95.04</c:v>
                </c:pt>
                <c:pt idx="22">
                  <c:v>96.42</c:v>
                </c:pt>
                <c:pt idx="23">
                  <c:v>95.21</c:v>
                </c:pt>
                <c:pt idx="24">
                  <c:v>95.22</c:v>
                </c:pt>
                <c:pt idx="25">
                  <c:v>95.52</c:v>
                </c:pt>
                <c:pt idx="26">
                  <c:v>93.72</c:v>
                </c:pt>
                <c:pt idx="27">
                  <c:v>95.9</c:v>
                </c:pt>
                <c:pt idx="28">
                  <c:v>95.35</c:v>
                </c:pt>
                <c:pt idx="29">
                  <c:v>94.01</c:v>
                </c:pt>
                <c:pt idx="30">
                  <c:v>96.42</c:v>
                </c:pt>
                <c:pt idx="31">
                  <c:v>94.1</c:v>
                </c:pt>
                <c:pt idx="32">
                  <c:v>95.9</c:v>
                </c:pt>
                <c:pt idx="33">
                  <c:v>93.68</c:v>
                </c:pt>
                <c:pt idx="34">
                  <c:v>95.08</c:v>
                </c:pt>
                <c:pt idx="35">
                  <c:v>95.81</c:v>
                </c:pt>
                <c:pt idx="36">
                  <c:v>95.35</c:v>
                </c:pt>
                <c:pt idx="37">
                  <c:v>94.37</c:v>
                </c:pt>
                <c:pt idx="38">
                  <c:v>95.35</c:v>
                </c:pt>
                <c:pt idx="39">
                  <c:v>93.98</c:v>
                </c:pt>
                <c:pt idx="40">
                  <c:v>95.62</c:v>
                </c:pt>
                <c:pt idx="41">
                  <c:v>94.78</c:v>
                </c:pt>
                <c:pt idx="42">
                  <c:v>94.01</c:v>
                </c:pt>
                <c:pt idx="43">
                  <c:v>94.56</c:v>
                </c:pt>
                <c:pt idx="44">
                  <c:v>96.31</c:v>
                </c:pt>
                <c:pt idx="45">
                  <c:v>95.18</c:v>
                </c:pt>
                <c:pt idx="46">
                  <c:v>94.12</c:v>
                </c:pt>
                <c:pt idx="47">
                  <c:v>94.47</c:v>
                </c:pt>
                <c:pt idx="48">
                  <c:v>95.25</c:v>
                </c:pt>
                <c:pt idx="49">
                  <c:v>95.19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7F-481F-B3E5-7F224FB93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805439"/>
        <c:axId val="1622813599"/>
      </c:lineChart>
      <c:catAx>
        <c:axId val="1622805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Broj iteracije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813599"/>
        <c:crosses val="autoZero"/>
        <c:auto val="1"/>
        <c:lblAlgn val="ctr"/>
        <c:lblOffset val="100"/>
        <c:noMultiLvlLbl val="0"/>
      </c:catAx>
      <c:valAx>
        <c:axId val="162281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Ukupna 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80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Pad efikasnosti na zadnjoj ploči (sortirano)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podaci!$S$2:$S$51</c:f>
              <c:numCache>
                <c:formatCode>General</c:formatCode>
                <c:ptCount val="50"/>
                <c:pt idx="0">
                  <c:v>10</c:v>
                </c:pt>
                <c:pt idx="1">
                  <c:v>2</c:v>
                </c:pt>
                <c:pt idx="2">
                  <c:v>12</c:v>
                </c:pt>
                <c:pt idx="3">
                  <c:v>13</c:v>
                </c:pt>
                <c:pt idx="4">
                  <c:v>45</c:v>
                </c:pt>
                <c:pt idx="5">
                  <c:v>26</c:v>
                </c:pt>
                <c:pt idx="6">
                  <c:v>44</c:v>
                </c:pt>
                <c:pt idx="7">
                  <c:v>37</c:v>
                </c:pt>
                <c:pt idx="8">
                  <c:v>25</c:v>
                </c:pt>
                <c:pt idx="9">
                  <c:v>17</c:v>
                </c:pt>
                <c:pt idx="10">
                  <c:v>15</c:v>
                </c:pt>
                <c:pt idx="11">
                  <c:v>41</c:v>
                </c:pt>
                <c:pt idx="12">
                  <c:v>29</c:v>
                </c:pt>
                <c:pt idx="13">
                  <c:v>22</c:v>
                </c:pt>
                <c:pt idx="14">
                  <c:v>36</c:v>
                </c:pt>
                <c:pt idx="15">
                  <c:v>33</c:v>
                </c:pt>
                <c:pt idx="16">
                  <c:v>8</c:v>
                </c:pt>
                <c:pt idx="17">
                  <c:v>9</c:v>
                </c:pt>
                <c:pt idx="18">
                  <c:v>20</c:v>
                </c:pt>
                <c:pt idx="19">
                  <c:v>28</c:v>
                </c:pt>
                <c:pt idx="20">
                  <c:v>3</c:v>
                </c:pt>
                <c:pt idx="21">
                  <c:v>23</c:v>
                </c:pt>
                <c:pt idx="22">
                  <c:v>31</c:v>
                </c:pt>
                <c:pt idx="23">
                  <c:v>49</c:v>
                </c:pt>
                <c:pt idx="24">
                  <c:v>5</c:v>
                </c:pt>
                <c:pt idx="25">
                  <c:v>50</c:v>
                </c:pt>
                <c:pt idx="26">
                  <c:v>1</c:v>
                </c:pt>
                <c:pt idx="27">
                  <c:v>24</c:v>
                </c:pt>
                <c:pt idx="28">
                  <c:v>38</c:v>
                </c:pt>
                <c:pt idx="29">
                  <c:v>19</c:v>
                </c:pt>
                <c:pt idx="30">
                  <c:v>35</c:v>
                </c:pt>
                <c:pt idx="31">
                  <c:v>48</c:v>
                </c:pt>
                <c:pt idx="32">
                  <c:v>39</c:v>
                </c:pt>
                <c:pt idx="33">
                  <c:v>18</c:v>
                </c:pt>
                <c:pt idx="34">
                  <c:v>46</c:v>
                </c:pt>
                <c:pt idx="35">
                  <c:v>42</c:v>
                </c:pt>
                <c:pt idx="36">
                  <c:v>14</c:v>
                </c:pt>
                <c:pt idx="37">
                  <c:v>43</c:v>
                </c:pt>
                <c:pt idx="38">
                  <c:v>27</c:v>
                </c:pt>
                <c:pt idx="39">
                  <c:v>32</c:v>
                </c:pt>
                <c:pt idx="40">
                  <c:v>30</c:v>
                </c:pt>
                <c:pt idx="41">
                  <c:v>16</c:v>
                </c:pt>
                <c:pt idx="42">
                  <c:v>40</c:v>
                </c:pt>
                <c:pt idx="43">
                  <c:v>7</c:v>
                </c:pt>
                <c:pt idx="44">
                  <c:v>6</c:v>
                </c:pt>
                <c:pt idx="45">
                  <c:v>11</c:v>
                </c:pt>
                <c:pt idx="46">
                  <c:v>21</c:v>
                </c:pt>
                <c:pt idx="47">
                  <c:v>47</c:v>
                </c:pt>
                <c:pt idx="48">
                  <c:v>34</c:v>
                </c:pt>
                <c:pt idx="49">
                  <c:v>4</c:v>
                </c:pt>
              </c:numCache>
            </c:numRef>
          </c:cat>
          <c:val>
            <c:numRef>
              <c:f>podaci!$T$2:$T$51</c:f>
              <c:numCache>
                <c:formatCode>General</c:formatCode>
                <c:ptCount val="50"/>
                <c:pt idx="0">
                  <c:v>0.98000000000000398</c:v>
                </c:pt>
                <c:pt idx="1">
                  <c:v>1.2099999999999937</c:v>
                </c:pt>
                <c:pt idx="2">
                  <c:v>1.2099999999999937</c:v>
                </c:pt>
                <c:pt idx="3">
                  <c:v>1.2099999999999937</c:v>
                </c:pt>
                <c:pt idx="4">
                  <c:v>1.2099999999999937</c:v>
                </c:pt>
                <c:pt idx="5">
                  <c:v>1.8199999999999932</c:v>
                </c:pt>
                <c:pt idx="6">
                  <c:v>3.2099999999999937</c:v>
                </c:pt>
                <c:pt idx="7">
                  <c:v>3.5</c:v>
                </c:pt>
                <c:pt idx="8">
                  <c:v>4.1799999999999926</c:v>
                </c:pt>
                <c:pt idx="9">
                  <c:v>4.1899999999999977</c:v>
                </c:pt>
                <c:pt idx="10">
                  <c:v>5.2600000000000051</c:v>
                </c:pt>
                <c:pt idx="11">
                  <c:v>5.3199999999999932</c:v>
                </c:pt>
                <c:pt idx="12">
                  <c:v>6.039999999999992</c:v>
                </c:pt>
                <c:pt idx="13">
                  <c:v>6.2600000000000051</c:v>
                </c:pt>
                <c:pt idx="14">
                  <c:v>6.2900000000000063</c:v>
                </c:pt>
                <c:pt idx="15">
                  <c:v>6.5900000000000034</c:v>
                </c:pt>
                <c:pt idx="16">
                  <c:v>6.7099999999999937</c:v>
                </c:pt>
                <c:pt idx="17">
                  <c:v>6.7099999999999937</c:v>
                </c:pt>
                <c:pt idx="18">
                  <c:v>6.7099999999999937</c:v>
                </c:pt>
                <c:pt idx="19">
                  <c:v>6.7099999999999937</c:v>
                </c:pt>
                <c:pt idx="20">
                  <c:v>7.3499999999999943</c:v>
                </c:pt>
                <c:pt idx="21">
                  <c:v>7.5900000000000034</c:v>
                </c:pt>
                <c:pt idx="22">
                  <c:v>7.5900000000000034</c:v>
                </c:pt>
                <c:pt idx="23">
                  <c:v>7.6299999999999955</c:v>
                </c:pt>
                <c:pt idx="24">
                  <c:v>7.6400000000000006</c:v>
                </c:pt>
                <c:pt idx="25">
                  <c:v>8.1299999999999955</c:v>
                </c:pt>
                <c:pt idx="26">
                  <c:v>8.1899999999999977</c:v>
                </c:pt>
                <c:pt idx="27">
                  <c:v>8.36</c:v>
                </c:pt>
                <c:pt idx="28">
                  <c:v>8.61</c:v>
                </c:pt>
                <c:pt idx="29">
                  <c:v>8.6799999999999926</c:v>
                </c:pt>
                <c:pt idx="30">
                  <c:v>8.6900000000000119</c:v>
                </c:pt>
                <c:pt idx="31">
                  <c:v>8.9099999999999966</c:v>
                </c:pt>
                <c:pt idx="32">
                  <c:v>9.1500000000000057</c:v>
                </c:pt>
                <c:pt idx="33">
                  <c:v>10.349999999999994</c:v>
                </c:pt>
                <c:pt idx="34">
                  <c:v>10.36999999999999</c:v>
                </c:pt>
                <c:pt idx="35">
                  <c:v>10.829999999999998</c:v>
                </c:pt>
                <c:pt idx="36">
                  <c:v>12.780000000000001</c:v>
                </c:pt>
                <c:pt idx="37">
                  <c:v>13.36</c:v>
                </c:pt>
                <c:pt idx="38">
                  <c:v>13.469999999999999</c:v>
                </c:pt>
                <c:pt idx="39">
                  <c:v>14.289999999999992</c:v>
                </c:pt>
                <c:pt idx="40">
                  <c:v>16.090000000000003</c:v>
                </c:pt>
                <c:pt idx="41">
                  <c:v>16.939999999999998</c:v>
                </c:pt>
                <c:pt idx="42">
                  <c:v>17.279999999999987</c:v>
                </c:pt>
                <c:pt idx="43">
                  <c:v>17.679999999999993</c:v>
                </c:pt>
                <c:pt idx="44">
                  <c:v>17.799999999999997</c:v>
                </c:pt>
                <c:pt idx="45">
                  <c:v>17.829999999999998</c:v>
                </c:pt>
                <c:pt idx="46">
                  <c:v>18.340000000000003</c:v>
                </c:pt>
                <c:pt idx="47">
                  <c:v>18.480000000000004</c:v>
                </c:pt>
                <c:pt idx="48">
                  <c:v>20.679999999999993</c:v>
                </c:pt>
                <c:pt idx="49">
                  <c:v>21.259999999999991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2-4A6F-ACEA-41CBCFB69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431663"/>
        <c:axId val="1672430223"/>
      </c:barChart>
      <c:catAx>
        <c:axId val="167243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Iteracija (sortirano)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430223"/>
        <c:crosses val="autoZero"/>
        <c:auto val="1"/>
        <c:lblAlgn val="ctr"/>
        <c:lblOffset val="100"/>
        <c:noMultiLvlLbl val="0"/>
      </c:catAx>
      <c:valAx>
        <c:axId val="16724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Pad efikasnosti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43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Konzistentnost algoritma kroz 50 iteracija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podaci!$B$62:$B$111</c:f>
              <c:numCache>
                <c:formatCode>0.00</c:formatCode>
                <c:ptCount val="50"/>
                <c:pt idx="0">
                  <c:v>92.59</c:v>
                </c:pt>
                <c:pt idx="1">
                  <c:v>94.51</c:v>
                </c:pt>
                <c:pt idx="2">
                  <c:v>93.75</c:v>
                </c:pt>
                <c:pt idx="3">
                  <c:v>93.81</c:v>
                </c:pt>
                <c:pt idx="4">
                  <c:v>93.31</c:v>
                </c:pt>
                <c:pt idx="5">
                  <c:v>92.76</c:v>
                </c:pt>
                <c:pt idx="6">
                  <c:v>93.31</c:v>
                </c:pt>
                <c:pt idx="7">
                  <c:v>93.85</c:v>
                </c:pt>
                <c:pt idx="8">
                  <c:v>94.31</c:v>
                </c:pt>
                <c:pt idx="9">
                  <c:v>93.61</c:v>
                </c:pt>
                <c:pt idx="10">
                  <c:v>93.35</c:v>
                </c:pt>
                <c:pt idx="11">
                  <c:v>93.49</c:v>
                </c:pt>
                <c:pt idx="12">
                  <c:v>93.37</c:v>
                </c:pt>
                <c:pt idx="13">
                  <c:v>93.31</c:v>
                </c:pt>
                <c:pt idx="14">
                  <c:v>94.35</c:v>
                </c:pt>
                <c:pt idx="15">
                  <c:v>94.7</c:v>
                </c:pt>
                <c:pt idx="16">
                  <c:v>95.01</c:v>
                </c:pt>
                <c:pt idx="17">
                  <c:v>94.03</c:v>
                </c:pt>
                <c:pt idx="18">
                  <c:v>94.5</c:v>
                </c:pt>
                <c:pt idx="19">
                  <c:v>94.65</c:v>
                </c:pt>
                <c:pt idx="20">
                  <c:v>93.58</c:v>
                </c:pt>
                <c:pt idx="21">
                  <c:v>93.66</c:v>
                </c:pt>
                <c:pt idx="22">
                  <c:v>94.11</c:v>
                </c:pt>
                <c:pt idx="23">
                  <c:v>94.84</c:v>
                </c:pt>
                <c:pt idx="24">
                  <c:v>93.48</c:v>
                </c:pt>
                <c:pt idx="25">
                  <c:v>94.83</c:v>
                </c:pt>
                <c:pt idx="26">
                  <c:v>94.47</c:v>
                </c:pt>
                <c:pt idx="27">
                  <c:v>92.59</c:v>
                </c:pt>
                <c:pt idx="28">
                  <c:v>93.31</c:v>
                </c:pt>
                <c:pt idx="29">
                  <c:v>94.33</c:v>
                </c:pt>
                <c:pt idx="30">
                  <c:v>93.97</c:v>
                </c:pt>
                <c:pt idx="31">
                  <c:v>94.17</c:v>
                </c:pt>
                <c:pt idx="32">
                  <c:v>94.05</c:v>
                </c:pt>
                <c:pt idx="33">
                  <c:v>93.74</c:v>
                </c:pt>
                <c:pt idx="34">
                  <c:v>93.86</c:v>
                </c:pt>
                <c:pt idx="35">
                  <c:v>93.59</c:v>
                </c:pt>
                <c:pt idx="36">
                  <c:v>93.92</c:v>
                </c:pt>
                <c:pt idx="37">
                  <c:v>94.52</c:v>
                </c:pt>
                <c:pt idx="38">
                  <c:v>95.11</c:v>
                </c:pt>
                <c:pt idx="39">
                  <c:v>94.11</c:v>
                </c:pt>
                <c:pt idx="40">
                  <c:v>94.03</c:v>
                </c:pt>
                <c:pt idx="41">
                  <c:v>93.88</c:v>
                </c:pt>
                <c:pt idx="42">
                  <c:v>93.5</c:v>
                </c:pt>
                <c:pt idx="43">
                  <c:v>93.78</c:v>
                </c:pt>
                <c:pt idx="44">
                  <c:v>94.11</c:v>
                </c:pt>
                <c:pt idx="45">
                  <c:v>94.52</c:v>
                </c:pt>
                <c:pt idx="46">
                  <c:v>95.51</c:v>
                </c:pt>
                <c:pt idx="47">
                  <c:v>95.64</c:v>
                </c:pt>
                <c:pt idx="48">
                  <c:v>92.3</c:v>
                </c:pt>
                <c:pt idx="49">
                  <c:v>94.78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3C-48B9-ADB7-E7EE1EF08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805439"/>
        <c:axId val="1622813599"/>
      </c:lineChart>
      <c:catAx>
        <c:axId val="1622805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Broj iteracije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813599"/>
        <c:crosses val="autoZero"/>
        <c:auto val="1"/>
        <c:lblAlgn val="ctr"/>
        <c:lblOffset val="100"/>
        <c:noMultiLvlLbl val="0"/>
      </c:catAx>
      <c:valAx>
        <c:axId val="1622813599"/>
        <c:scaling>
          <c:orientation val="minMax"/>
          <c:max val="97"/>
          <c:min val="9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Ukupna 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80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Pad efikasnosti na zadnjoj ploči (sortirano)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podaci!$S$62:$S$111</c:f>
              <c:numCache>
                <c:formatCode>General</c:formatCode>
                <c:ptCount val="50"/>
                <c:pt idx="0">
                  <c:v>18</c:v>
                </c:pt>
                <c:pt idx="1">
                  <c:v>23</c:v>
                </c:pt>
                <c:pt idx="2">
                  <c:v>40</c:v>
                </c:pt>
                <c:pt idx="3">
                  <c:v>45</c:v>
                </c:pt>
                <c:pt idx="4">
                  <c:v>48</c:v>
                </c:pt>
                <c:pt idx="5">
                  <c:v>47</c:v>
                </c:pt>
                <c:pt idx="6">
                  <c:v>17</c:v>
                </c:pt>
                <c:pt idx="7">
                  <c:v>15</c:v>
                </c:pt>
                <c:pt idx="8">
                  <c:v>26</c:v>
                </c:pt>
                <c:pt idx="9">
                  <c:v>20</c:v>
                </c:pt>
                <c:pt idx="10">
                  <c:v>2</c:v>
                </c:pt>
                <c:pt idx="11">
                  <c:v>50</c:v>
                </c:pt>
                <c:pt idx="12">
                  <c:v>24</c:v>
                </c:pt>
                <c:pt idx="13">
                  <c:v>30</c:v>
                </c:pt>
                <c:pt idx="14">
                  <c:v>36</c:v>
                </c:pt>
                <c:pt idx="15">
                  <c:v>21</c:v>
                </c:pt>
                <c:pt idx="16">
                  <c:v>12</c:v>
                </c:pt>
                <c:pt idx="17">
                  <c:v>19</c:v>
                </c:pt>
                <c:pt idx="18">
                  <c:v>37</c:v>
                </c:pt>
                <c:pt idx="19">
                  <c:v>43</c:v>
                </c:pt>
                <c:pt idx="20">
                  <c:v>25</c:v>
                </c:pt>
                <c:pt idx="21">
                  <c:v>33</c:v>
                </c:pt>
                <c:pt idx="22">
                  <c:v>35</c:v>
                </c:pt>
                <c:pt idx="23">
                  <c:v>29</c:v>
                </c:pt>
                <c:pt idx="24">
                  <c:v>9</c:v>
                </c:pt>
                <c:pt idx="25">
                  <c:v>5</c:v>
                </c:pt>
                <c:pt idx="26">
                  <c:v>34</c:v>
                </c:pt>
                <c:pt idx="27">
                  <c:v>41</c:v>
                </c:pt>
                <c:pt idx="28">
                  <c:v>39</c:v>
                </c:pt>
                <c:pt idx="29">
                  <c:v>6</c:v>
                </c:pt>
                <c:pt idx="30">
                  <c:v>3</c:v>
                </c:pt>
                <c:pt idx="31">
                  <c:v>38</c:v>
                </c:pt>
                <c:pt idx="32">
                  <c:v>31</c:v>
                </c:pt>
                <c:pt idx="33">
                  <c:v>14</c:v>
                </c:pt>
                <c:pt idx="34">
                  <c:v>1</c:v>
                </c:pt>
                <c:pt idx="35">
                  <c:v>28</c:v>
                </c:pt>
                <c:pt idx="36">
                  <c:v>32</c:v>
                </c:pt>
                <c:pt idx="37">
                  <c:v>13</c:v>
                </c:pt>
                <c:pt idx="38">
                  <c:v>7</c:v>
                </c:pt>
                <c:pt idx="39">
                  <c:v>49</c:v>
                </c:pt>
                <c:pt idx="40">
                  <c:v>22</c:v>
                </c:pt>
                <c:pt idx="41">
                  <c:v>27</c:v>
                </c:pt>
                <c:pt idx="42">
                  <c:v>46</c:v>
                </c:pt>
                <c:pt idx="43">
                  <c:v>42</c:v>
                </c:pt>
                <c:pt idx="44">
                  <c:v>4</c:v>
                </c:pt>
                <c:pt idx="45">
                  <c:v>16</c:v>
                </c:pt>
                <c:pt idx="46">
                  <c:v>10</c:v>
                </c:pt>
                <c:pt idx="47">
                  <c:v>8</c:v>
                </c:pt>
                <c:pt idx="48">
                  <c:v>11</c:v>
                </c:pt>
                <c:pt idx="49">
                  <c:v>44</c:v>
                </c:pt>
              </c:numCache>
            </c:numRef>
          </c:cat>
          <c:val>
            <c:numRef>
              <c:f>podaci!$T$62:$T$111</c:f>
              <c:numCache>
                <c:formatCode>General</c:formatCode>
                <c:ptCount val="50"/>
                <c:pt idx="0">
                  <c:v>-1.3400000000000034</c:v>
                </c:pt>
                <c:pt idx="1">
                  <c:v>0.75</c:v>
                </c:pt>
                <c:pt idx="2">
                  <c:v>0.75</c:v>
                </c:pt>
                <c:pt idx="3">
                  <c:v>0.81999999999999318</c:v>
                </c:pt>
                <c:pt idx="4">
                  <c:v>1.6000000000000085</c:v>
                </c:pt>
                <c:pt idx="5">
                  <c:v>2.7399999999999949</c:v>
                </c:pt>
                <c:pt idx="6">
                  <c:v>2.8700000000000045</c:v>
                </c:pt>
                <c:pt idx="7">
                  <c:v>3.5499999999999972</c:v>
                </c:pt>
                <c:pt idx="8">
                  <c:v>3.8800000000000097</c:v>
                </c:pt>
                <c:pt idx="9">
                  <c:v>4.2800000000000011</c:v>
                </c:pt>
                <c:pt idx="10">
                  <c:v>4.4500000000000028</c:v>
                </c:pt>
                <c:pt idx="11">
                  <c:v>4.7399999999999949</c:v>
                </c:pt>
                <c:pt idx="12">
                  <c:v>4.8400000000000034</c:v>
                </c:pt>
                <c:pt idx="13">
                  <c:v>4.9200000000000017</c:v>
                </c:pt>
                <c:pt idx="14">
                  <c:v>5.9199999999999875</c:v>
                </c:pt>
                <c:pt idx="15">
                  <c:v>6.1099999999999994</c:v>
                </c:pt>
                <c:pt idx="16">
                  <c:v>6.1300000000000097</c:v>
                </c:pt>
                <c:pt idx="17">
                  <c:v>6.3499999999999943</c:v>
                </c:pt>
                <c:pt idx="18">
                  <c:v>6.5</c:v>
                </c:pt>
                <c:pt idx="19">
                  <c:v>6.5400000000000063</c:v>
                </c:pt>
                <c:pt idx="20">
                  <c:v>6.8399999999999892</c:v>
                </c:pt>
                <c:pt idx="21">
                  <c:v>7.2400000000000091</c:v>
                </c:pt>
                <c:pt idx="22">
                  <c:v>7.2999999999999972</c:v>
                </c:pt>
                <c:pt idx="23">
                  <c:v>7.4299999999999926</c:v>
                </c:pt>
                <c:pt idx="24">
                  <c:v>7.4500000000000028</c:v>
                </c:pt>
                <c:pt idx="25">
                  <c:v>7.4899999999999949</c:v>
                </c:pt>
                <c:pt idx="26">
                  <c:v>8.0099999999999909</c:v>
                </c:pt>
                <c:pt idx="27">
                  <c:v>8.3100000000000023</c:v>
                </c:pt>
                <c:pt idx="28">
                  <c:v>8.36</c:v>
                </c:pt>
                <c:pt idx="29">
                  <c:v>8.519999999999996</c:v>
                </c:pt>
                <c:pt idx="30">
                  <c:v>8.5999999999999943</c:v>
                </c:pt>
                <c:pt idx="31">
                  <c:v>8.6199999999999903</c:v>
                </c:pt>
                <c:pt idx="32">
                  <c:v>9.4000000000000057</c:v>
                </c:pt>
                <c:pt idx="33">
                  <c:v>9.4200000000000017</c:v>
                </c:pt>
                <c:pt idx="34">
                  <c:v>9.6599999999999966</c:v>
                </c:pt>
                <c:pt idx="35">
                  <c:v>9.6599999999999966</c:v>
                </c:pt>
                <c:pt idx="36">
                  <c:v>9.8500000000000085</c:v>
                </c:pt>
                <c:pt idx="37">
                  <c:v>10.440000000000012</c:v>
                </c:pt>
                <c:pt idx="38">
                  <c:v>10.659999999999997</c:v>
                </c:pt>
                <c:pt idx="39">
                  <c:v>11.14</c:v>
                </c:pt>
                <c:pt idx="40">
                  <c:v>11.180000000000007</c:v>
                </c:pt>
                <c:pt idx="41">
                  <c:v>11.399999999999991</c:v>
                </c:pt>
                <c:pt idx="42">
                  <c:v>11.689999999999998</c:v>
                </c:pt>
                <c:pt idx="43">
                  <c:v>12.02000000000001</c:v>
                </c:pt>
                <c:pt idx="44">
                  <c:v>12.079999999999998</c:v>
                </c:pt>
                <c:pt idx="45">
                  <c:v>12.179999999999993</c:v>
                </c:pt>
                <c:pt idx="46">
                  <c:v>12.86</c:v>
                </c:pt>
                <c:pt idx="47">
                  <c:v>12.97999999999999</c:v>
                </c:pt>
                <c:pt idx="48">
                  <c:v>16.36</c:v>
                </c:pt>
                <c:pt idx="49">
                  <c:v>17.799999999999997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6-4F82-9D7A-C9254081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431663"/>
        <c:axId val="1672430223"/>
      </c:barChart>
      <c:catAx>
        <c:axId val="167243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Iteracija (sortirano)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430223"/>
        <c:crosses val="autoZero"/>
        <c:auto val="1"/>
        <c:lblAlgn val="ctr"/>
        <c:lblOffset val="100"/>
        <c:noMultiLvlLbl val="0"/>
      </c:catAx>
      <c:valAx>
        <c:axId val="16724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Pad efikasnosti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43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Konzistentnost algoritma kroz 50 iteracija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podaci!$B$121:$B$170</c:f>
              <c:numCache>
                <c:formatCode>0.00</c:formatCode>
                <c:ptCount val="50"/>
                <c:pt idx="0">
                  <c:v>95.39</c:v>
                </c:pt>
                <c:pt idx="1">
                  <c:v>95.36</c:v>
                </c:pt>
                <c:pt idx="2">
                  <c:v>93.02</c:v>
                </c:pt>
                <c:pt idx="3">
                  <c:v>93.39</c:v>
                </c:pt>
                <c:pt idx="4">
                  <c:v>95.06</c:v>
                </c:pt>
                <c:pt idx="5">
                  <c:v>95.42</c:v>
                </c:pt>
                <c:pt idx="6">
                  <c:v>95.17</c:v>
                </c:pt>
                <c:pt idx="7">
                  <c:v>95.16</c:v>
                </c:pt>
                <c:pt idx="8">
                  <c:v>94.78</c:v>
                </c:pt>
                <c:pt idx="9">
                  <c:v>93.52</c:v>
                </c:pt>
                <c:pt idx="10">
                  <c:v>94.5</c:v>
                </c:pt>
                <c:pt idx="11">
                  <c:v>94.13</c:v>
                </c:pt>
                <c:pt idx="12">
                  <c:v>94.93</c:v>
                </c:pt>
                <c:pt idx="13">
                  <c:v>93.2</c:v>
                </c:pt>
                <c:pt idx="14">
                  <c:v>93.2</c:v>
                </c:pt>
                <c:pt idx="15">
                  <c:v>94.68</c:v>
                </c:pt>
                <c:pt idx="16">
                  <c:v>94.88</c:v>
                </c:pt>
                <c:pt idx="17">
                  <c:v>93.2</c:v>
                </c:pt>
                <c:pt idx="18">
                  <c:v>94.04</c:v>
                </c:pt>
                <c:pt idx="19">
                  <c:v>94.91</c:v>
                </c:pt>
                <c:pt idx="20">
                  <c:v>93.7</c:v>
                </c:pt>
                <c:pt idx="21">
                  <c:v>93.19</c:v>
                </c:pt>
                <c:pt idx="22">
                  <c:v>94.32</c:v>
                </c:pt>
                <c:pt idx="23">
                  <c:v>93.46</c:v>
                </c:pt>
                <c:pt idx="24">
                  <c:v>92.15</c:v>
                </c:pt>
                <c:pt idx="25">
                  <c:v>94.5</c:v>
                </c:pt>
                <c:pt idx="26">
                  <c:v>94.06</c:v>
                </c:pt>
                <c:pt idx="27">
                  <c:v>93.56</c:v>
                </c:pt>
                <c:pt idx="28">
                  <c:v>93.66</c:v>
                </c:pt>
                <c:pt idx="29">
                  <c:v>95</c:v>
                </c:pt>
                <c:pt idx="30">
                  <c:v>95.42</c:v>
                </c:pt>
                <c:pt idx="31">
                  <c:v>93.66</c:v>
                </c:pt>
                <c:pt idx="32">
                  <c:v>94.61</c:v>
                </c:pt>
                <c:pt idx="33">
                  <c:v>93.1</c:v>
                </c:pt>
                <c:pt idx="34">
                  <c:v>94.05</c:v>
                </c:pt>
                <c:pt idx="35">
                  <c:v>95.22</c:v>
                </c:pt>
                <c:pt idx="36">
                  <c:v>93.43</c:v>
                </c:pt>
                <c:pt idx="37">
                  <c:v>93.83</c:v>
                </c:pt>
                <c:pt idx="38">
                  <c:v>94.11</c:v>
                </c:pt>
                <c:pt idx="39">
                  <c:v>94.35</c:v>
                </c:pt>
                <c:pt idx="40">
                  <c:v>94.97</c:v>
                </c:pt>
                <c:pt idx="41">
                  <c:v>94.5</c:v>
                </c:pt>
                <c:pt idx="42">
                  <c:v>94.91</c:v>
                </c:pt>
                <c:pt idx="43">
                  <c:v>93.48</c:v>
                </c:pt>
                <c:pt idx="44">
                  <c:v>93.8</c:v>
                </c:pt>
                <c:pt idx="45">
                  <c:v>93.43</c:v>
                </c:pt>
                <c:pt idx="46">
                  <c:v>93.7</c:v>
                </c:pt>
                <c:pt idx="47">
                  <c:v>94.96</c:v>
                </c:pt>
                <c:pt idx="48">
                  <c:v>93.96</c:v>
                </c:pt>
                <c:pt idx="49">
                  <c:v>93.94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9C-4D11-A68E-79D11C626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805439"/>
        <c:axId val="1622813599"/>
      </c:lineChart>
      <c:catAx>
        <c:axId val="1622805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Broj iteracije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813599"/>
        <c:crosses val="autoZero"/>
        <c:auto val="1"/>
        <c:lblAlgn val="ctr"/>
        <c:lblOffset val="100"/>
        <c:noMultiLvlLbl val="0"/>
      </c:catAx>
      <c:valAx>
        <c:axId val="1622813599"/>
        <c:scaling>
          <c:orientation val="minMax"/>
          <c:max val="97"/>
          <c:min val="9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Ukupna 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80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Pad efikasnosti na zadnjoj ploči (sortirano)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podaci!$T$121:$T$170</c:f>
              <c:numCache>
                <c:formatCode>General</c:formatCode>
                <c:ptCount val="50"/>
                <c:pt idx="0">
                  <c:v>-0.25999999999999091</c:v>
                </c:pt>
                <c:pt idx="1">
                  <c:v>0.64000000000000057</c:v>
                </c:pt>
                <c:pt idx="2">
                  <c:v>0.71999999999999886</c:v>
                </c:pt>
                <c:pt idx="3">
                  <c:v>0.79999999999999716</c:v>
                </c:pt>
                <c:pt idx="4">
                  <c:v>0.81999999999999318</c:v>
                </c:pt>
                <c:pt idx="5">
                  <c:v>1.2900000000000063</c:v>
                </c:pt>
                <c:pt idx="6">
                  <c:v>1.8799999999999955</c:v>
                </c:pt>
                <c:pt idx="7">
                  <c:v>2.2399999999999949</c:v>
                </c:pt>
                <c:pt idx="8">
                  <c:v>2.539999999999992</c:v>
                </c:pt>
                <c:pt idx="9">
                  <c:v>2.7999999999999972</c:v>
                </c:pt>
                <c:pt idx="10">
                  <c:v>2.8700000000000045</c:v>
                </c:pt>
                <c:pt idx="11">
                  <c:v>2.8900000000000006</c:v>
                </c:pt>
                <c:pt idx="12">
                  <c:v>3.1700000000000017</c:v>
                </c:pt>
                <c:pt idx="13">
                  <c:v>3.3400000000000034</c:v>
                </c:pt>
                <c:pt idx="14">
                  <c:v>3.8200000000000074</c:v>
                </c:pt>
                <c:pt idx="15">
                  <c:v>4.0700000000000074</c:v>
                </c:pt>
                <c:pt idx="16">
                  <c:v>4.1300000000000097</c:v>
                </c:pt>
                <c:pt idx="17">
                  <c:v>4.5800000000000125</c:v>
                </c:pt>
                <c:pt idx="18">
                  <c:v>4.7900000000000063</c:v>
                </c:pt>
                <c:pt idx="19">
                  <c:v>4.9899999999999949</c:v>
                </c:pt>
                <c:pt idx="20">
                  <c:v>5.25</c:v>
                </c:pt>
                <c:pt idx="21">
                  <c:v>5.2900000000000063</c:v>
                </c:pt>
                <c:pt idx="22">
                  <c:v>5.6500000000000057</c:v>
                </c:pt>
                <c:pt idx="23">
                  <c:v>5.7000000000000028</c:v>
                </c:pt>
                <c:pt idx="24">
                  <c:v>5.8699999999999903</c:v>
                </c:pt>
                <c:pt idx="25">
                  <c:v>6.2800000000000011</c:v>
                </c:pt>
                <c:pt idx="26">
                  <c:v>6.3599999999999994</c:v>
                </c:pt>
                <c:pt idx="27">
                  <c:v>6.4699999999999989</c:v>
                </c:pt>
                <c:pt idx="28">
                  <c:v>6.7999999999999972</c:v>
                </c:pt>
                <c:pt idx="29">
                  <c:v>6.8400000000000034</c:v>
                </c:pt>
                <c:pt idx="30">
                  <c:v>7.1700000000000017</c:v>
                </c:pt>
                <c:pt idx="31">
                  <c:v>7.3400000000000034</c:v>
                </c:pt>
                <c:pt idx="32">
                  <c:v>7.4099999999999966</c:v>
                </c:pt>
                <c:pt idx="33">
                  <c:v>7.5799999999999983</c:v>
                </c:pt>
                <c:pt idx="34">
                  <c:v>7.75</c:v>
                </c:pt>
                <c:pt idx="35">
                  <c:v>8.11</c:v>
                </c:pt>
                <c:pt idx="36">
                  <c:v>8.1299999999999955</c:v>
                </c:pt>
                <c:pt idx="37">
                  <c:v>8.269999999999996</c:v>
                </c:pt>
                <c:pt idx="38">
                  <c:v>8.269999999999996</c:v>
                </c:pt>
                <c:pt idx="39">
                  <c:v>8.9599999999999937</c:v>
                </c:pt>
                <c:pt idx="40">
                  <c:v>9.1900000000000119</c:v>
                </c:pt>
                <c:pt idx="41">
                  <c:v>9.4699999999999989</c:v>
                </c:pt>
                <c:pt idx="42">
                  <c:v>9.9599999999999937</c:v>
                </c:pt>
                <c:pt idx="43">
                  <c:v>10.850000000000009</c:v>
                </c:pt>
                <c:pt idx="44">
                  <c:v>11.840000000000003</c:v>
                </c:pt>
                <c:pt idx="45">
                  <c:v>12.849999999999994</c:v>
                </c:pt>
                <c:pt idx="46">
                  <c:v>13.069999999999993</c:v>
                </c:pt>
                <c:pt idx="47">
                  <c:v>13.909999999999997</c:v>
                </c:pt>
                <c:pt idx="48">
                  <c:v>14.420000000000002</c:v>
                </c:pt>
                <c:pt idx="49">
                  <c:v>15.569999999999993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17-4F1F-8D92-E29778E27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431663"/>
        <c:axId val="16724302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podaci!$S$121:$S$170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13</c:v>
                      </c:pt>
                      <c:pt idx="1">
                        <c:v>5</c:v>
                      </c:pt>
                      <c:pt idx="2">
                        <c:v>41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49</c:v>
                      </c:pt>
                      <c:pt idx="6">
                        <c:v>42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40</c:v>
                      </c:pt>
                      <c:pt idx="10">
                        <c:v>6</c:v>
                      </c:pt>
                      <c:pt idx="11">
                        <c:v>31</c:v>
                      </c:pt>
                      <c:pt idx="12">
                        <c:v>36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47</c:v>
                      </c:pt>
                      <c:pt idx="16">
                        <c:v>4</c:v>
                      </c:pt>
                      <c:pt idx="17">
                        <c:v>37</c:v>
                      </c:pt>
                      <c:pt idx="18">
                        <c:v>10</c:v>
                      </c:pt>
                      <c:pt idx="19">
                        <c:v>16</c:v>
                      </c:pt>
                      <c:pt idx="20">
                        <c:v>30</c:v>
                      </c:pt>
                      <c:pt idx="21">
                        <c:v>25</c:v>
                      </c:pt>
                      <c:pt idx="22">
                        <c:v>20</c:v>
                      </c:pt>
                      <c:pt idx="23">
                        <c:v>46</c:v>
                      </c:pt>
                      <c:pt idx="24">
                        <c:v>33</c:v>
                      </c:pt>
                      <c:pt idx="25">
                        <c:v>23</c:v>
                      </c:pt>
                      <c:pt idx="26">
                        <c:v>11</c:v>
                      </c:pt>
                      <c:pt idx="27">
                        <c:v>38</c:v>
                      </c:pt>
                      <c:pt idx="28">
                        <c:v>17</c:v>
                      </c:pt>
                      <c:pt idx="29">
                        <c:v>43</c:v>
                      </c:pt>
                      <c:pt idx="30">
                        <c:v>19</c:v>
                      </c:pt>
                      <c:pt idx="31">
                        <c:v>29</c:v>
                      </c:pt>
                      <c:pt idx="32">
                        <c:v>32</c:v>
                      </c:pt>
                      <c:pt idx="33">
                        <c:v>48</c:v>
                      </c:pt>
                      <c:pt idx="34">
                        <c:v>50</c:v>
                      </c:pt>
                      <c:pt idx="35">
                        <c:v>7</c:v>
                      </c:pt>
                      <c:pt idx="36">
                        <c:v>45</c:v>
                      </c:pt>
                      <c:pt idx="37">
                        <c:v>14</c:v>
                      </c:pt>
                      <c:pt idx="38">
                        <c:v>18</c:v>
                      </c:pt>
                      <c:pt idx="39">
                        <c:v>15</c:v>
                      </c:pt>
                      <c:pt idx="40">
                        <c:v>27</c:v>
                      </c:pt>
                      <c:pt idx="41">
                        <c:v>24</c:v>
                      </c:pt>
                      <c:pt idx="42">
                        <c:v>3</c:v>
                      </c:pt>
                      <c:pt idx="43">
                        <c:v>35</c:v>
                      </c:pt>
                      <c:pt idx="44">
                        <c:v>26</c:v>
                      </c:pt>
                      <c:pt idx="45">
                        <c:v>28</c:v>
                      </c:pt>
                      <c:pt idx="46">
                        <c:v>44</c:v>
                      </c:pt>
                      <c:pt idx="47">
                        <c:v>21</c:v>
                      </c:pt>
                      <c:pt idx="48">
                        <c:v>22</c:v>
                      </c:pt>
                      <c:pt idx="49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F17-4F1F-8D92-E29778E27DAE}"/>
                  </c:ext>
                </c:extLst>
              </c15:ser>
            </c15:filteredBarSeries>
          </c:ext>
        </c:extLst>
      </c:barChart>
      <c:catAx>
        <c:axId val="167243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Iteracija (sortirano)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430223"/>
        <c:crosses val="autoZero"/>
        <c:auto val="1"/>
        <c:lblAlgn val="ctr"/>
        <c:lblOffset val="100"/>
        <c:noMultiLvlLbl val="0"/>
      </c:catAx>
      <c:valAx>
        <c:axId val="16724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Pad efikasnosti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43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V</a:t>
            </a:r>
            <a:r>
              <a:rPr lang="en-US"/>
              <a:t>rijeme </a:t>
            </a:r>
            <a:r>
              <a:rPr lang="hr-HR"/>
              <a:t>izvršavanja </a:t>
            </a:r>
            <a:r>
              <a:rPr lang="en-US"/>
              <a:t>vs </a:t>
            </a:r>
            <a:r>
              <a:rPr lang="hr-HR"/>
              <a:t>Ukupna e</a:t>
            </a:r>
            <a:r>
              <a:rPr lang="en-US"/>
              <a:t>fikasnost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vrijeme vs efikasnost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podaci!$G$2:$G$51</c:f>
              <c:numCache>
                <c:formatCode>General</c:formatCode>
                <c:ptCount val="50"/>
                <c:pt idx="0">
                  <c:v>91.74</c:v>
                </c:pt>
                <c:pt idx="1">
                  <c:v>187.93799999999999</c:v>
                </c:pt>
                <c:pt idx="2">
                  <c:v>188.76499999999999</c:v>
                </c:pt>
                <c:pt idx="3">
                  <c:v>85.793000000000006</c:v>
                </c:pt>
                <c:pt idx="4">
                  <c:v>92.513999999999996</c:v>
                </c:pt>
                <c:pt idx="5">
                  <c:v>91.662000000000006</c:v>
                </c:pt>
                <c:pt idx="6">
                  <c:v>86.366</c:v>
                </c:pt>
                <c:pt idx="7">
                  <c:v>86.375</c:v>
                </c:pt>
                <c:pt idx="8">
                  <c:v>86.805999999999997</c:v>
                </c:pt>
                <c:pt idx="9">
                  <c:v>86.498000000000005</c:v>
                </c:pt>
                <c:pt idx="10">
                  <c:v>86.540999999999997</c:v>
                </c:pt>
                <c:pt idx="11">
                  <c:v>86.278000000000006</c:v>
                </c:pt>
                <c:pt idx="12">
                  <c:v>86.061000000000007</c:v>
                </c:pt>
                <c:pt idx="13">
                  <c:v>183.91300000000001</c:v>
                </c:pt>
                <c:pt idx="14">
                  <c:v>92.308999999999997</c:v>
                </c:pt>
                <c:pt idx="15">
                  <c:v>88.683999999999997</c:v>
                </c:pt>
                <c:pt idx="16">
                  <c:v>93.069000000000003</c:v>
                </c:pt>
                <c:pt idx="17">
                  <c:v>91.677000000000007</c:v>
                </c:pt>
                <c:pt idx="18">
                  <c:v>94.971000000000004</c:v>
                </c:pt>
                <c:pt idx="19">
                  <c:v>86.867000000000004</c:v>
                </c:pt>
                <c:pt idx="20">
                  <c:v>91.49</c:v>
                </c:pt>
                <c:pt idx="21">
                  <c:v>87.438000000000002</c:v>
                </c:pt>
                <c:pt idx="22">
                  <c:v>88.328000000000003</c:v>
                </c:pt>
                <c:pt idx="23">
                  <c:v>196.476</c:v>
                </c:pt>
                <c:pt idx="24">
                  <c:v>105.03400000000001</c:v>
                </c:pt>
                <c:pt idx="25">
                  <c:v>211.01599999999999</c:v>
                </c:pt>
                <c:pt idx="26">
                  <c:v>94.962999999999994</c:v>
                </c:pt>
                <c:pt idx="27">
                  <c:v>86.284000000000006</c:v>
                </c:pt>
                <c:pt idx="28">
                  <c:v>91.412999999999997</c:v>
                </c:pt>
                <c:pt idx="29">
                  <c:v>94.445999999999998</c:v>
                </c:pt>
                <c:pt idx="30">
                  <c:v>87.679000000000002</c:v>
                </c:pt>
                <c:pt idx="31">
                  <c:v>89.400999999999996</c:v>
                </c:pt>
                <c:pt idx="32">
                  <c:v>86.36</c:v>
                </c:pt>
                <c:pt idx="33">
                  <c:v>91.188999999999993</c:v>
                </c:pt>
                <c:pt idx="34">
                  <c:v>89.483999999999995</c:v>
                </c:pt>
                <c:pt idx="35">
                  <c:v>84.179000000000002</c:v>
                </c:pt>
                <c:pt idx="36">
                  <c:v>88.929000000000002</c:v>
                </c:pt>
                <c:pt idx="37">
                  <c:v>88.661000000000001</c:v>
                </c:pt>
                <c:pt idx="38">
                  <c:v>92.346000000000004</c:v>
                </c:pt>
                <c:pt idx="39">
                  <c:v>90.81</c:v>
                </c:pt>
                <c:pt idx="40">
                  <c:v>191.054</c:v>
                </c:pt>
                <c:pt idx="41">
                  <c:v>89.94</c:v>
                </c:pt>
                <c:pt idx="42">
                  <c:v>87.769000000000005</c:v>
                </c:pt>
                <c:pt idx="43">
                  <c:v>196.96899999999999</c:v>
                </c:pt>
                <c:pt idx="44">
                  <c:v>91.313999999999993</c:v>
                </c:pt>
                <c:pt idx="45">
                  <c:v>90.072999999999993</c:v>
                </c:pt>
                <c:pt idx="46">
                  <c:v>96.757000000000005</c:v>
                </c:pt>
                <c:pt idx="47">
                  <c:v>193.30199999999999</c:v>
                </c:pt>
                <c:pt idx="48">
                  <c:v>194.86799999999999</c:v>
                </c:pt>
                <c:pt idx="49">
                  <c:v>93.221000000000004</c:v>
                </c:pt>
              </c:numCache>
            </c:numRef>
          </c:xVal>
          <c:yVal>
            <c:numRef>
              <c:f>podaci!$B$2:$B$51</c:f>
              <c:numCache>
                <c:formatCode>0.00</c:formatCode>
                <c:ptCount val="50"/>
                <c:pt idx="0">
                  <c:v>95.24</c:v>
                </c:pt>
                <c:pt idx="1">
                  <c:v>95.13</c:v>
                </c:pt>
                <c:pt idx="2">
                  <c:v>95.45</c:v>
                </c:pt>
                <c:pt idx="3">
                  <c:v>94.17</c:v>
                </c:pt>
                <c:pt idx="4">
                  <c:v>95.12</c:v>
                </c:pt>
                <c:pt idx="5">
                  <c:v>94.4</c:v>
                </c:pt>
                <c:pt idx="6">
                  <c:v>93.86</c:v>
                </c:pt>
                <c:pt idx="7">
                  <c:v>95.9</c:v>
                </c:pt>
                <c:pt idx="8">
                  <c:v>95.9</c:v>
                </c:pt>
                <c:pt idx="9">
                  <c:v>96.32</c:v>
                </c:pt>
                <c:pt idx="10">
                  <c:v>94.17</c:v>
                </c:pt>
                <c:pt idx="11">
                  <c:v>96.31</c:v>
                </c:pt>
                <c:pt idx="12">
                  <c:v>96.31</c:v>
                </c:pt>
                <c:pt idx="13">
                  <c:v>95.35</c:v>
                </c:pt>
                <c:pt idx="14">
                  <c:v>95.31</c:v>
                </c:pt>
                <c:pt idx="15">
                  <c:v>94.83</c:v>
                </c:pt>
                <c:pt idx="16">
                  <c:v>95.15</c:v>
                </c:pt>
                <c:pt idx="17">
                  <c:v>95.16</c:v>
                </c:pt>
                <c:pt idx="18">
                  <c:v>95.1</c:v>
                </c:pt>
                <c:pt idx="19">
                  <c:v>95.9</c:v>
                </c:pt>
                <c:pt idx="20">
                  <c:v>94.47</c:v>
                </c:pt>
                <c:pt idx="21">
                  <c:v>95.04</c:v>
                </c:pt>
                <c:pt idx="22">
                  <c:v>96.42</c:v>
                </c:pt>
                <c:pt idx="23">
                  <c:v>95.21</c:v>
                </c:pt>
                <c:pt idx="24">
                  <c:v>95.22</c:v>
                </c:pt>
                <c:pt idx="25">
                  <c:v>95.52</c:v>
                </c:pt>
                <c:pt idx="26">
                  <c:v>93.72</c:v>
                </c:pt>
                <c:pt idx="27">
                  <c:v>95.9</c:v>
                </c:pt>
                <c:pt idx="28">
                  <c:v>95.35</c:v>
                </c:pt>
                <c:pt idx="29">
                  <c:v>94.01</c:v>
                </c:pt>
                <c:pt idx="30">
                  <c:v>96.42</c:v>
                </c:pt>
                <c:pt idx="31">
                  <c:v>94.1</c:v>
                </c:pt>
                <c:pt idx="32">
                  <c:v>95.9</c:v>
                </c:pt>
                <c:pt idx="33">
                  <c:v>93.68</c:v>
                </c:pt>
                <c:pt idx="34">
                  <c:v>95.08</c:v>
                </c:pt>
                <c:pt idx="35">
                  <c:v>95.81</c:v>
                </c:pt>
                <c:pt idx="36">
                  <c:v>95.35</c:v>
                </c:pt>
                <c:pt idx="37">
                  <c:v>94.37</c:v>
                </c:pt>
                <c:pt idx="38">
                  <c:v>95.35</c:v>
                </c:pt>
                <c:pt idx="39">
                  <c:v>93.98</c:v>
                </c:pt>
                <c:pt idx="40">
                  <c:v>95.62</c:v>
                </c:pt>
                <c:pt idx="41">
                  <c:v>94.78</c:v>
                </c:pt>
                <c:pt idx="42">
                  <c:v>94.01</c:v>
                </c:pt>
                <c:pt idx="43">
                  <c:v>94.56</c:v>
                </c:pt>
                <c:pt idx="44">
                  <c:v>96.31</c:v>
                </c:pt>
                <c:pt idx="45">
                  <c:v>95.18</c:v>
                </c:pt>
                <c:pt idx="46">
                  <c:v>94.12</c:v>
                </c:pt>
                <c:pt idx="47">
                  <c:v>94.47</c:v>
                </c:pt>
                <c:pt idx="48">
                  <c:v>95.25</c:v>
                </c:pt>
                <c:pt idx="49">
                  <c:v>95.19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BC-46B4-BB30-008F0F2EA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462271"/>
        <c:axId val="1084460831"/>
      </c:scatterChart>
      <c:valAx>
        <c:axId val="108446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Vrijeme izvršavanja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60831"/>
        <c:crosses val="autoZero"/>
        <c:crossBetween val="midCat"/>
      </c:valAx>
      <c:valAx>
        <c:axId val="108446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Ukupna 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6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V</a:t>
            </a:r>
            <a:r>
              <a:rPr lang="en-US"/>
              <a:t>rijeme </a:t>
            </a:r>
            <a:r>
              <a:rPr lang="hr-HR"/>
              <a:t>izvršavanja </a:t>
            </a:r>
            <a:r>
              <a:rPr lang="en-US"/>
              <a:t>vs </a:t>
            </a:r>
            <a:r>
              <a:rPr lang="hr-HR"/>
              <a:t>Ukupna e</a:t>
            </a:r>
            <a:r>
              <a:rPr lang="en-US"/>
              <a:t>fikasnost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vrijeme vs efikasnost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podaci!$G$121:$G$170</c:f>
              <c:numCache>
                <c:formatCode>General</c:formatCode>
                <c:ptCount val="50"/>
                <c:pt idx="0">
                  <c:v>106.727</c:v>
                </c:pt>
                <c:pt idx="1">
                  <c:v>131.923</c:v>
                </c:pt>
                <c:pt idx="2">
                  <c:v>123.81100000000001</c:v>
                </c:pt>
                <c:pt idx="3">
                  <c:v>108.212</c:v>
                </c:pt>
                <c:pt idx="4">
                  <c:v>219.43199999999999</c:v>
                </c:pt>
                <c:pt idx="5">
                  <c:v>104.971</c:v>
                </c:pt>
                <c:pt idx="6">
                  <c:v>131.887</c:v>
                </c:pt>
                <c:pt idx="7">
                  <c:v>226.69499999999999</c:v>
                </c:pt>
                <c:pt idx="8">
                  <c:v>104.58</c:v>
                </c:pt>
                <c:pt idx="9">
                  <c:v>105.401</c:v>
                </c:pt>
                <c:pt idx="10">
                  <c:v>107.369</c:v>
                </c:pt>
                <c:pt idx="11">
                  <c:v>116.376</c:v>
                </c:pt>
                <c:pt idx="12">
                  <c:v>106.46599999999999</c:v>
                </c:pt>
                <c:pt idx="13">
                  <c:v>103.755</c:v>
                </c:pt>
                <c:pt idx="14">
                  <c:v>106.02500000000001</c:v>
                </c:pt>
                <c:pt idx="15">
                  <c:v>134.57499999999999</c:v>
                </c:pt>
                <c:pt idx="16">
                  <c:v>118.65300000000001</c:v>
                </c:pt>
                <c:pt idx="17">
                  <c:v>111.70699999999999</c:v>
                </c:pt>
                <c:pt idx="18">
                  <c:v>109.995</c:v>
                </c:pt>
                <c:pt idx="19">
                  <c:v>112.658</c:v>
                </c:pt>
                <c:pt idx="20">
                  <c:v>107.67400000000001</c:v>
                </c:pt>
                <c:pt idx="21">
                  <c:v>209.858</c:v>
                </c:pt>
                <c:pt idx="22">
                  <c:v>212.37700000000001</c:v>
                </c:pt>
                <c:pt idx="23">
                  <c:v>128.12299999999999</c:v>
                </c:pt>
                <c:pt idx="24">
                  <c:v>106.51300000000001</c:v>
                </c:pt>
                <c:pt idx="25">
                  <c:v>103.47199999999999</c:v>
                </c:pt>
                <c:pt idx="26">
                  <c:v>122.13200000000001</c:v>
                </c:pt>
                <c:pt idx="27">
                  <c:v>104.684</c:v>
                </c:pt>
                <c:pt idx="28">
                  <c:v>135.77699999999999</c:v>
                </c:pt>
                <c:pt idx="29">
                  <c:v>123.04900000000001</c:v>
                </c:pt>
                <c:pt idx="30">
                  <c:v>114.15300000000001</c:v>
                </c:pt>
                <c:pt idx="31">
                  <c:v>103.99</c:v>
                </c:pt>
                <c:pt idx="32">
                  <c:v>117.069</c:v>
                </c:pt>
                <c:pt idx="33">
                  <c:v>106.94199999999999</c:v>
                </c:pt>
                <c:pt idx="34">
                  <c:v>212.4</c:v>
                </c:pt>
                <c:pt idx="35">
                  <c:v>123.486</c:v>
                </c:pt>
                <c:pt idx="36">
                  <c:v>104.533</c:v>
                </c:pt>
                <c:pt idx="37">
                  <c:v>106.30800000000001</c:v>
                </c:pt>
                <c:pt idx="38">
                  <c:v>105.209</c:v>
                </c:pt>
                <c:pt idx="39">
                  <c:v>216.99600000000001</c:v>
                </c:pt>
                <c:pt idx="40">
                  <c:v>103.592</c:v>
                </c:pt>
                <c:pt idx="41">
                  <c:v>104.69</c:v>
                </c:pt>
                <c:pt idx="42">
                  <c:v>105.785</c:v>
                </c:pt>
                <c:pt idx="43">
                  <c:v>209.87899999999999</c:v>
                </c:pt>
                <c:pt idx="44">
                  <c:v>122.684</c:v>
                </c:pt>
                <c:pt idx="45">
                  <c:v>103.691</c:v>
                </c:pt>
                <c:pt idx="46">
                  <c:v>116.54</c:v>
                </c:pt>
                <c:pt idx="47">
                  <c:v>106.87</c:v>
                </c:pt>
                <c:pt idx="48">
                  <c:v>115.024</c:v>
                </c:pt>
                <c:pt idx="49">
                  <c:v>116.53</c:v>
                </c:pt>
              </c:numCache>
            </c:numRef>
          </c:xVal>
          <c:yVal>
            <c:numRef>
              <c:f>podaci!$B$121:$B$170</c:f>
              <c:numCache>
                <c:formatCode>0.00</c:formatCode>
                <c:ptCount val="50"/>
                <c:pt idx="0">
                  <c:v>95.39</c:v>
                </c:pt>
                <c:pt idx="1">
                  <c:v>95.36</c:v>
                </c:pt>
                <c:pt idx="2">
                  <c:v>93.02</c:v>
                </c:pt>
                <c:pt idx="3">
                  <c:v>93.39</c:v>
                </c:pt>
                <c:pt idx="4">
                  <c:v>95.06</c:v>
                </c:pt>
                <c:pt idx="5">
                  <c:v>95.42</c:v>
                </c:pt>
                <c:pt idx="6">
                  <c:v>95.17</c:v>
                </c:pt>
                <c:pt idx="7">
                  <c:v>95.16</c:v>
                </c:pt>
                <c:pt idx="8">
                  <c:v>94.78</c:v>
                </c:pt>
                <c:pt idx="9">
                  <c:v>93.52</c:v>
                </c:pt>
                <c:pt idx="10">
                  <c:v>94.5</c:v>
                </c:pt>
                <c:pt idx="11">
                  <c:v>94.13</c:v>
                </c:pt>
                <c:pt idx="12">
                  <c:v>94.93</c:v>
                </c:pt>
                <c:pt idx="13">
                  <c:v>93.2</c:v>
                </c:pt>
                <c:pt idx="14">
                  <c:v>93.2</c:v>
                </c:pt>
                <c:pt idx="15">
                  <c:v>94.68</c:v>
                </c:pt>
                <c:pt idx="16">
                  <c:v>94.88</c:v>
                </c:pt>
                <c:pt idx="17">
                  <c:v>93.2</c:v>
                </c:pt>
                <c:pt idx="18">
                  <c:v>94.04</c:v>
                </c:pt>
                <c:pt idx="19">
                  <c:v>94.91</c:v>
                </c:pt>
                <c:pt idx="20">
                  <c:v>93.7</c:v>
                </c:pt>
                <c:pt idx="21">
                  <c:v>93.19</c:v>
                </c:pt>
                <c:pt idx="22">
                  <c:v>94.32</c:v>
                </c:pt>
                <c:pt idx="23">
                  <c:v>93.46</c:v>
                </c:pt>
                <c:pt idx="24">
                  <c:v>92.15</c:v>
                </c:pt>
                <c:pt idx="25">
                  <c:v>94.5</c:v>
                </c:pt>
                <c:pt idx="26">
                  <c:v>94.06</c:v>
                </c:pt>
                <c:pt idx="27">
                  <c:v>93.56</c:v>
                </c:pt>
                <c:pt idx="28">
                  <c:v>93.66</c:v>
                </c:pt>
                <c:pt idx="29">
                  <c:v>95</c:v>
                </c:pt>
                <c:pt idx="30">
                  <c:v>95.42</c:v>
                </c:pt>
                <c:pt idx="31">
                  <c:v>93.66</c:v>
                </c:pt>
                <c:pt idx="32">
                  <c:v>94.61</c:v>
                </c:pt>
                <c:pt idx="33">
                  <c:v>93.1</c:v>
                </c:pt>
                <c:pt idx="34">
                  <c:v>94.05</c:v>
                </c:pt>
                <c:pt idx="35">
                  <c:v>95.22</c:v>
                </c:pt>
                <c:pt idx="36">
                  <c:v>93.43</c:v>
                </c:pt>
                <c:pt idx="37">
                  <c:v>93.83</c:v>
                </c:pt>
                <c:pt idx="38">
                  <c:v>94.11</c:v>
                </c:pt>
                <c:pt idx="39">
                  <c:v>94.35</c:v>
                </c:pt>
                <c:pt idx="40">
                  <c:v>94.97</c:v>
                </c:pt>
                <c:pt idx="41">
                  <c:v>94.5</c:v>
                </c:pt>
                <c:pt idx="42">
                  <c:v>94.91</c:v>
                </c:pt>
                <c:pt idx="43">
                  <c:v>93.48</c:v>
                </c:pt>
                <c:pt idx="44">
                  <c:v>93.8</c:v>
                </c:pt>
                <c:pt idx="45">
                  <c:v>93.43</c:v>
                </c:pt>
                <c:pt idx="46">
                  <c:v>93.7</c:v>
                </c:pt>
                <c:pt idx="47">
                  <c:v>94.96</c:v>
                </c:pt>
                <c:pt idx="48">
                  <c:v>93.96</c:v>
                </c:pt>
                <c:pt idx="49">
                  <c:v>93.94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8B-48FD-9292-1B3DB6B8F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462271"/>
        <c:axId val="1084460831"/>
      </c:scatterChart>
      <c:valAx>
        <c:axId val="108446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Vrijeme izvršavanja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60831"/>
        <c:crosses val="autoZero"/>
        <c:crossBetween val="midCat"/>
      </c:valAx>
      <c:valAx>
        <c:axId val="108446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Ukupna 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6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V</a:t>
            </a:r>
            <a:r>
              <a:rPr lang="en-US"/>
              <a:t>rijeme </a:t>
            </a:r>
            <a:r>
              <a:rPr lang="hr-HR"/>
              <a:t>izvršavanja </a:t>
            </a:r>
            <a:r>
              <a:rPr lang="en-US"/>
              <a:t>vs </a:t>
            </a:r>
            <a:r>
              <a:rPr lang="hr-HR"/>
              <a:t>Ukupna e</a:t>
            </a:r>
            <a:r>
              <a:rPr lang="en-US"/>
              <a:t>fikasnost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vrijeme vs efikasnost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podaci!$G$62:$G$111</c:f>
              <c:numCache>
                <c:formatCode>General</c:formatCode>
                <c:ptCount val="50"/>
                <c:pt idx="0">
                  <c:v>97.21</c:v>
                </c:pt>
                <c:pt idx="1">
                  <c:v>98.817999999999998</c:v>
                </c:pt>
                <c:pt idx="2">
                  <c:v>121.301</c:v>
                </c:pt>
                <c:pt idx="3">
                  <c:v>114.48</c:v>
                </c:pt>
                <c:pt idx="4">
                  <c:v>108.63200000000001</c:v>
                </c:pt>
                <c:pt idx="5">
                  <c:v>121.67400000000001</c:v>
                </c:pt>
                <c:pt idx="6">
                  <c:v>122.55800000000001</c:v>
                </c:pt>
                <c:pt idx="7">
                  <c:v>120.29900000000001</c:v>
                </c:pt>
                <c:pt idx="8">
                  <c:v>127.753</c:v>
                </c:pt>
                <c:pt idx="9">
                  <c:v>116.738</c:v>
                </c:pt>
                <c:pt idx="10">
                  <c:v>110.398</c:v>
                </c:pt>
                <c:pt idx="11">
                  <c:v>114.355</c:v>
                </c:pt>
                <c:pt idx="12">
                  <c:v>118.509</c:v>
                </c:pt>
                <c:pt idx="13">
                  <c:v>99.850999999999999</c:v>
                </c:pt>
                <c:pt idx="14">
                  <c:v>136.203</c:v>
                </c:pt>
                <c:pt idx="15">
                  <c:v>117.014</c:v>
                </c:pt>
                <c:pt idx="16">
                  <c:v>110.675</c:v>
                </c:pt>
                <c:pt idx="17">
                  <c:v>114.35299999999999</c:v>
                </c:pt>
                <c:pt idx="18">
                  <c:v>147.90299999999999</c:v>
                </c:pt>
                <c:pt idx="19">
                  <c:v>134.863</c:v>
                </c:pt>
                <c:pt idx="20">
                  <c:v>107.82599999999999</c:v>
                </c:pt>
                <c:pt idx="21">
                  <c:v>138.739</c:v>
                </c:pt>
                <c:pt idx="22">
                  <c:v>114.54300000000001</c:v>
                </c:pt>
                <c:pt idx="23">
                  <c:v>109.524</c:v>
                </c:pt>
                <c:pt idx="24">
                  <c:v>129.774</c:v>
                </c:pt>
                <c:pt idx="25">
                  <c:v>115.64700000000001</c:v>
                </c:pt>
                <c:pt idx="26">
                  <c:v>136.46899999999999</c:v>
                </c:pt>
                <c:pt idx="27">
                  <c:v>103.602</c:v>
                </c:pt>
                <c:pt idx="28">
                  <c:v>111.06100000000001</c:v>
                </c:pt>
                <c:pt idx="29">
                  <c:v>118.496</c:v>
                </c:pt>
                <c:pt idx="30">
                  <c:v>134.70500000000001</c:v>
                </c:pt>
                <c:pt idx="31">
                  <c:v>106.038</c:v>
                </c:pt>
                <c:pt idx="32">
                  <c:v>105.205</c:v>
                </c:pt>
                <c:pt idx="33">
                  <c:v>116.03</c:v>
                </c:pt>
                <c:pt idx="34">
                  <c:v>213.99799999999999</c:v>
                </c:pt>
                <c:pt idx="35">
                  <c:v>105.274</c:v>
                </c:pt>
                <c:pt idx="36">
                  <c:v>136.05199999999999</c:v>
                </c:pt>
                <c:pt idx="37">
                  <c:v>134.74100000000001</c:v>
                </c:pt>
                <c:pt idx="38">
                  <c:v>114.941</c:v>
                </c:pt>
                <c:pt idx="39">
                  <c:v>113.39400000000001</c:v>
                </c:pt>
                <c:pt idx="40">
                  <c:v>108.194</c:v>
                </c:pt>
                <c:pt idx="41">
                  <c:v>126.268</c:v>
                </c:pt>
                <c:pt idx="42">
                  <c:v>141.126</c:v>
                </c:pt>
                <c:pt idx="43">
                  <c:v>112.383</c:v>
                </c:pt>
                <c:pt idx="44">
                  <c:v>103.626</c:v>
                </c:pt>
                <c:pt idx="45">
                  <c:v>103.664</c:v>
                </c:pt>
                <c:pt idx="46">
                  <c:v>117.551</c:v>
                </c:pt>
                <c:pt idx="47">
                  <c:v>112.858</c:v>
                </c:pt>
                <c:pt idx="48">
                  <c:v>127.259</c:v>
                </c:pt>
                <c:pt idx="49">
                  <c:v>109.956</c:v>
                </c:pt>
              </c:numCache>
            </c:numRef>
          </c:xVal>
          <c:yVal>
            <c:numRef>
              <c:f>podaci!$B$62:$B$111</c:f>
              <c:numCache>
                <c:formatCode>0.00</c:formatCode>
                <c:ptCount val="50"/>
                <c:pt idx="0">
                  <c:v>92.59</c:v>
                </c:pt>
                <c:pt idx="1">
                  <c:v>94.51</c:v>
                </c:pt>
                <c:pt idx="2">
                  <c:v>93.75</c:v>
                </c:pt>
                <c:pt idx="3">
                  <c:v>93.81</c:v>
                </c:pt>
                <c:pt idx="4">
                  <c:v>93.31</c:v>
                </c:pt>
                <c:pt idx="5">
                  <c:v>92.76</c:v>
                </c:pt>
                <c:pt idx="6">
                  <c:v>93.31</c:v>
                </c:pt>
                <c:pt idx="7">
                  <c:v>93.85</c:v>
                </c:pt>
                <c:pt idx="8">
                  <c:v>94.31</c:v>
                </c:pt>
                <c:pt idx="9">
                  <c:v>93.61</c:v>
                </c:pt>
                <c:pt idx="10">
                  <c:v>93.35</c:v>
                </c:pt>
                <c:pt idx="11">
                  <c:v>93.49</c:v>
                </c:pt>
                <c:pt idx="12">
                  <c:v>93.37</c:v>
                </c:pt>
                <c:pt idx="13">
                  <c:v>93.31</c:v>
                </c:pt>
                <c:pt idx="14">
                  <c:v>94.35</c:v>
                </c:pt>
                <c:pt idx="15">
                  <c:v>94.7</c:v>
                </c:pt>
                <c:pt idx="16">
                  <c:v>95.01</c:v>
                </c:pt>
                <c:pt idx="17">
                  <c:v>94.03</c:v>
                </c:pt>
                <c:pt idx="18">
                  <c:v>94.5</c:v>
                </c:pt>
                <c:pt idx="19">
                  <c:v>94.65</c:v>
                </c:pt>
                <c:pt idx="20">
                  <c:v>93.58</c:v>
                </c:pt>
                <c:pt idx="21">
                  <c:v>93.66</c:v>
                </c:pt>
                <c:pt idx="22">
                  <c:v>94.11</c:v>
                </c:pt>
                <c:pt idx="23">
                  <c:v>94.84</c:v>
                </c:pt>
                <c:pt idx="24">
                  <c:v>93.48</c:v>
                </c:pt>
                <c:pt idx="25">
                  <c:v>94.83</c:v>
                </c:pt>
                <c:pt idx="26">
                  <c:v>94.47</c:v>
                </c:pt>
                <c:pt idx="27">
                  <c:v>92.59</c:v>
                </c:pt>
                <c:pt idx="28">
                  <c:v>93.31</c:v>
                </c:pt>
                <c:pt idx="29">
                  <c:v>94.33</c:v>
                </c:pt>
                <c:pt idx="30">
                  <c:v>93.97</c:v>
                </c:pt>
                <c:pt idx="31">
                  <c:v>94.17</c:v>
                </c:pt>
                <c:pt idx="32">
                  <c:v>94.05</c:v>
                </c:pt>
                <c:pt idx="33">
                  <c:v>93.74</c:v>
                </c:pt>
                <c:pt idx="34">
                  <c:v>93.86</c:v>
                </c:pt>
                <c:pt idx="35">
                  <c:v>93.59</c:v>
                </c:pt>
                <c:pt idx="36">
                  <c:v>93.92</c:v>
                </c:pt>
                <c:pt idx="37">
                  <c:v>94.52</c:v>
                </c:pt>
                <c:pt idx="38">
                  <c:v>95.11</c:v>
                </c:pt>
                <c:pt idx="39">
                  <c:v>94.11</c:v>
                </c:pt>
                <c:pt idx="40">
                  <c:v>94.03</c:v>
                </c:pt>
                <c:pt idx="41">
                  <c:v>93.88</c:v>
                </c:pt>
                <c:pt idx="42">
                  <c:v>93.5</c:v>
                </c:pt>
                <c:pt idx="43">
                  <c:v>93.78</c:v>
                </c:pt>
                <c:pt idx="44">
                  <c:v>94.11</c:v>
                </c:pt>
                <c:pt idx="45">
                  <c:v>94.52</c:v>
                </c:pt>
                <c:pt idx="46">
                  <c:v>95.51</c:v>
                </c:pt>
                <c:pt idx="47">
                  <c:v>95.64</c:v>
                </c:pt>
                <c:pt idx="48">
                  <c:v>92.3</c:v>
                </c:pt>
                <c:pt idx="49">
                  <c:v>94.78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C8-4613-B43A-DDEF06870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462271"/>
        <c:axId val="1084460831"/>
      </c:scatterChart>
      <c:valAx>
        <c:axId val="108446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Vrijeme izvršavanja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60831"/>
        <c:crosses val="autoZero"/>
        <c:crossBetween val="midCat"/>
      </c:valAx>
      <c:valAx>
        <c:axId val="108446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Ukupna 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6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Usporedba s referentn</a:t>
            </a:r>
            <a:r>
              <a:rPr lang="hr-HR" sz="1400" b="0" i="0" u="none" strike="noStrike" baseline="0"/>
              <a:t>om listom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GuillotineStrip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vs_referenca!$A$2:$A$7</c:f>
              <c:strCache>
                <c:ptCount val="6"/>
                <c:pt idx="0">
                  <c:v>Minimum</c:v>
                </c:pt>
                <c:pt idx="1">
                  <c:v>Q1 (25%)</c:v>
                </c:pt>
                <c:pt idx="2">
                  <c:v>Medijan</c:v>
                </c:pt>
                <c:pt idx="3">
                  <c:v>Prosjek</c:v>
                </c:pt>
                <c:pt idx="4">
                  <c:v>Q3 (75%)</c:v>
                </c:pt>
                <c:pt idx="5">
                  <c:v>Maksimum</c:v>
                </c:pt>
              </c:strCache>
            </c:strRef>
          </c:cat>
          <c:val>
            <c:numRef>
              <c:f>vs_referenca!$B$2:$B$7</c:f>
              <c:numCache>
                <c:formatCode>0.00</c:formatCode>
                <c:ptCount val="6"/>
                <c:pt idx="0">
                  <c:v>93.68</c:v>
                </c:pt>
                <c:pt idx="1">
                  <c:v>94.47</c:v>
                </c:pt>
                <c:pt idx="2">
                  <c:v>95.185000000000002</c:v>
                </c:pt>
                <c:pt idx="3">
                  <c:v>95.109400000000008</c:v>
                </c:pt>
                <c:pt idx="4">
                  <c:v>95.594999999999999</c:v>
                </c:pt>
                <c:pt idx="5">
                  <c:v>96.42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6-4148-BB77-9D3343006201}"/>
            </c:ext>
          </c:extLst>
        </c:ser>
        <c:ser>
          <c:idx val="1"/>
          <c:order val="1"/>
          <c:tx>
            <c:v>Referenca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vs_referenca!$A$2:$A$7</c:f>
              <c:strCache>
                <c:ptCount val="6"/>
                <c:pt idx="0">
                  <c:v>Minimum</c:v>
                </c:pt>
                <c:pt idx="1">
                  <c:v>Q1 (25%)</c:v>
                </c:pt>
                <c:pt idx="2">
                  <c:v>Medijan</c:v>
                </c:pt>
                <c:pt idx="3">
                  <c:v>Prosjek</c:v>
                </c:pt>
                <c:pt idx="4">
                  <c:v>Q3 (75%)</c:v>
                </c:pt>
                <c:pt idx="5">
                  <c:v>Maksimum</c:v>
                </c:pt>
              </c:strCache>
            </c:strRef>
          </c:cat>
          <c:val>
            <c:numRef>
              <c:f>vs_referenca!$C$2</c:f>
              <c:numCache>
                <c:formatCode>0.00</c:formatCode>
                <c:ptCount val="1"/>
                <c:pt idx="0">
                  <c:v>91.41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86-4148-BB77-9D33430062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0"/>
        <c:overlap val="-62"/>
        <c:axId val="1275505615"/>
        <c:axId val="1275504175"/>
      </c:barChart>
      <c:catAx>
        <c:axId val="127550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04175"/>
        <c:crosses val="autoZero"/>
        <c:auto val="1"/>
        <c:lblAlgn val="ctr"/>
        <c:lblOffset val="100"/>
        <c:noMultiLvlLbl val="0"/>
      </c:catAx>
      <c:valAx>
        <c:axId val="127550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0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Usporedba s referentn</a:t>
            </a:r>
            <a:r>
              <a:rPr lang="hr-HR" sz="1400" b="0" i="0" u="none" strike="noStrike" baseline="0"/>
              <a:t>om listom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GuillotineStrip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vs_referenca!$A$2:$A$7</c:f>
              <c:strCache>
                <c:ptCount val="6"/>
                <c:pt idx="0">
                  <c:v>Minimum</c:v>
                </c:pt>
                <c:pt idx="1">
                  <c:v>Q1 (25%)</c:v>
                </c:pt>
                <c:pt idx="2">
                  <c:v>Medijan</c:v>
                </c:pt>
                <c:pt idx="3">
                  <c:v>Prosjek</c:v>
                </c:pt>
                <c:pt idx="4">
                  <c:v>Q3 (75%)</c:v>
                </c:pt>
                <c:pt idx="5">
                  <c:v>Maksimum</c:v>
                </c:pt>
              </c:strCache>
            </c:strRef>
          </c:cat>
          <c:val>
            <c:numRef>
              <c:f>vs_referenca!$B$62:$B$67</c:f>
              <c:numCache>
                <c:formatCode>0.00</c:formatCode>
                <c:ptCount val="6"/>
                <c:pt idx="0">
                  <c:v>92.3</c:v>
                </c:pt>
                <c:pt idx="1">
                  <c:v>93.52</c:v>
                </c:pt>
                <c:pt idx="2">
                  <c:v>93.944999999999993</c:v>
                </c:pt>
                <c:pt idx="3">
                  <c:v>93.977200000000025</c:v>
                </c:pt>
                <c:pt idx="4">
                  <c:v>94.492500000000007</c:v>
                </c:pt>
                <c:pt idx="5">
                  <c:v>95.64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1-4266-8CF1-7FFFC9E492C9}"/>
            </c:ext>
          </c:extLst>
        </c:ser>
        <c:ser>
          <c:idx val="1"/>
          <c:order val="1"/>
          <c:tx>
            <c:v>Referenca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vs_referenca!$A$2:$A$7</c:f>
              <c:strCache>
                <c:ptCount val="6"/>
                <c:pt idx="0">
                  <c:v>Minimum</c:v>
                </c:pt>
                <c:pt idx="1">
                  <c:v>Q1 (25%)</c:v>
                </c:pt>
                <c:pt idx="2">
                  <c:v>Medijan</c:v>
                </c:pt>
                <c:pt idx="3">
                  <c:v>Prosjek</c:v>
                </c:pt>
                <c:pt idx="4">
                  <c:v>Q3 (75%)</c:v>
                </c:pt>
                <c:pt idx="5">
                  <c:v>Maksimum</c:v>
                </c:pt>
              </c:strCache>
            </c:strRef>
          </c:cat>
          <c:val>
            <c:numRef>
              <c:f>vs_referenca!$C$62</c:f>
              <c:numCache>
                <c:formatCode>0.00</c:formatCode>
                <c:ptCount val="1"/>
                <c:pt idx="0">
                  <c:v>91.41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11-4266-8CF1-7FFFC9E492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0"/>
        <c:overlap val="-62"/>
        <c:axId val="1275505615"/>
        <c:axId val="1275504175"/>
      </c:barChart>
      <c:catAx>
        <c:axId val="127550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04175"/>
        <c:crosses val="autoZero"/>
        <c:auto val="1"/>
        <c:lblAlgn val="ctr"/>
        <c:lblOffset val="100"/>
        <c:noMultiLvlLbl val="0"/>
      </c:catAx>
      <c:valAx>
        <c:axId val="127550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0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Usporedba s referentn</a:t>
            </a:r>
            <a:r>
              <a:rPr lang="hr-HR" sz="1400" b="0" i="0" u="none" strike="noStrike" baseline="0"/>
              <a:t>om listom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GuillotineStrip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vs_referenca!$A$2:$A$7</c:f>
              <c:strCache>
                <c:ptCount val="6"/>
                <c:pt idx="0">
                  <c:v>Minimum</c:v>
                </c:pt>
                <c:pt idx="1">
                  <c:v>Q1 (25%)</c:v>
                </c:pt>
                <c:pt idx="2">
                  <c:v>Medijan</c:v>
                </c:pt>
                <c:pt idx="3">
                  <c:v>Prosjek</c:v>
                </c:pt>
                <c:pt idx="4">
                  <c:v>Q3 (75%)</c:v>
                </c:pt>
                <c:pt idx="5">
                  <c:v>Maksimum</c:v>
                </c:pt>
              </c:strCache>
            </c:strRef>
          </c:cat>
          <c:val>
            <c:numRef>
              <c:f>vs_referenca!$B$121:$B$126</c:f>
              <c:numCache>
                <c:formatCode>0.00</c:formatCode>
                <c:ptCount val="6"/>
                <c:pt idx="0">
                  <c:v>92.15</c:v>
                </c:pt>
                <c:pt idx="1">
                  <c:v>93.53</c:v>
                </c:pt>
                <c:pt idx="2">
                  <c:v>94.085000000000008</c:v>
                </c:pt>
                <c:pt idx="3">
                  <c:v>94.179399999999987</c:v>
                </c:pt>
                <c:pt idx="4">
                  <c:v>94.91</c:v>
                </c:pt>
                <c:pt idx="5">
                  <c:v>95.42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7-4624-AFAB-D264D94707F3}"/>
            </c:ext>
          </c:extLst>
        </c:ser>
        <c:ser>
          <c:idx val="1"/>
          <c:order val="1"/>
          <c:tx>
            <c:v>Referenca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vs_referenca!$A$2:$A$7</c:f>
              <c:strCache>
                <c:ptCount val="6"/>
                <c:pt idx="0">
                  <c:v>Minimum</c:v>
                </c:pt>
                <c:pt idx="1">
                  <c:v>Q1 (25%)</c:v>
                </c:pt>
                <c:pt idx="2">
                  <c:v>Medijan</c:v>
                </c:pt>
                <c:pt idx="3">
                  <c:v>Prosjek</c:v>
                </c:pt>
                <c:pt idx="4">
                  <c:v>Q3 (75%)</c:v>
                </c:pt>
                <c:pt idx="5">
                  <c:v>Maksimum</c:v>
                </c:pt>
              </c:strCache>
            </c:strRef>
          </c:cat>
          <c:val>
            <c:numRef>
              <c:f>vs_referenca!$C$121</c:f>
              <c:numCache>
                <c:formatCode>0.00</c:formatCode>
                <c:ptCount val="1"/>
                <c:pt idx="0">
                  <c:v>91.41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57-4624-AFAB-D264D94707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0"/>
        <c:overlap val="-62"/>
        <c:axId val="1275505615"/>
        <c:axId val="1275504175"/>
      </c:barChart>
      <c:catAx>
        <c:axId val="127550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04175"/>
        <c:crosses val="autoZero"/>
        <c:auto val="1"/>
        <c:lblAlgn val="ctr"/>
        <c:lblOffset val="100"/>
        <c:noMultiLvlLbl val="0"/>
      </c:catAx>
      <c:valAx>
        <c:axId val="127550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0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Usporedba najbolje i najgore iteracije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Iteracija 23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najbolji_vs_najgori!$A$11:$A$18</c15:sqref>
                  </c15:fullRef>
                </c:ext>
              </c:extLst>
              <c:f>najbolji_vs_najgori!$A$11:$A$15</c:f>
              <c:strCache>
                <c:ptCount val="5"/>
                <c:pt idx="0">
                  <c:v>Ukupna efikasnost (%)</c:v>
                </c:pt>
                <c:pt idx="1">
                  <c:v>Ploča 1 (%)</c:v>
                </c:pt>
                <c:pt idx="2">
                  <c:v>Ploča 2 (%)</c:v>
                </c:pt>
                <c:pt idx="3">
                  <c:v>Ploča 3 (%)</c:v>
                </c:pt>
                <c:pt idx="4">
                  <c:v>Ploča 4 (%)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najbolji_vs_najgori!$B$11:$B$18</c15:sqref>
                  </c15:fullRef>
                </c:ext>
              </c:extLst>
              <c:f>najbolji_vs_najgori!$B$11:$B$15</c:f>
              <c:numCache>
                <c:formatCode>0.00</c:formatCode>
                <c:ptCount val="5"/>
                <c:pt idx="0">
                  <c:v>96.42</c:v>
                </c:pt>
                <c:pt idx="1">
                  <c:v>97.62</c:v>
                </c:pt>
                <c:pt idx="2">
                  <c:v>96.75</c:v>
                </c:pt>
                <c:pt idx="3">
                  <c:v>96.89</c:v>
                </c:pt>
                <c:pt idx="4">
                  <c:v>89.3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B-4176-8C8F-2FACB793CD4D}"/>
            </c:ext>
          </c:extLst>
        </c:ser>
        <c:ser>
          <c:idx val="1"/>
          <c:order val="1"/>
          <c:tx>
            <c:v>Iteracija 34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najbolji_vs_najgori!$A$11:$A$18</c15:sqref>
                  </c15:fullRef>
                </c:ext>
              </c:extLst>
              <c:f>najbolji_vs_najgori!$A$11:$A$15</c:f>
              <c:strCache>
                <c:ptCount val="5"/>
                <c:pt idx="0">
                  <c:v>Ukupna efikasnost (%)</c:v>
                </c:pt>
                <c:pt idx="1">
                  <c:v>Ploča 1 (%)</c:v>
                </c:pt>
                <c:pt idx="2">
                  <c:v>Ploča 2 (%)</c:v>
                </c:pt>
                <c:pt idx="3">
                  <c:v>Ploča 3 (%)</c:v>
                </c:pt>
                <c:pt idx="4">
                  <c:v>Ploča 4 (%)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najbolji_vs_najgori!$C$11:$C$18</c15:sqref>
                  </c15:fullRef>
                </c:ext>
              </c:extLst>
              <c:f>najbolji_vs_najgori!$C$11:$C$15</c:f>
              <c:numCache>
                <c:formatCode>0.00</c:formatCode>
                <c:ptCount val="5"/>
                <c:pt idx="0">
                  <c:v>93.68</c:v>
                </c:pt>
                <c:pt idx="1">
                  <c:v>97.77</c:v>
                </c:pt>
                <c:pt idx="2">
                  <c:v>96.56</c:v>
                </c:pt>
                <c:pt idx="3">
                  <c:v>94.27</c:v>
                </c:pt>
                <c:pt idx="4">
                  <c:v>73.59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7B-4176-8C8F-2FACB793CD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423313599"/>
        <c:axId val="1423312639"/>
      </c:barChart>
      <c:catAx>
        <c:axId val="142331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12639"/>
        <c:crosses val="autoZero"/>
        <c:auto val="1"/>
        <c:lblAlgn val="ctr"/>
        <c:lblOffset val="100"/>
        <c:noMultiLvlLbl val="0"/>
      </c:catAx>
      <c:valAx>
        <c:axId val="1423312639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solidFill>
              <a:schemeClr val="accent1">
                <a:shade val="95000"/>
                <a:satMod val="10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13599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Usporedba najbolje i najgore iteracije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Iteracija 48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najbolji_vs_najgori!$A$11:$A$18</c15:sqref>
                  </c15:fullRef>
                </c:ext>
              </c:extLst>
              <c:f>najbolji_vs_najgori!$A$11:$A$15</c:f>
              <c:strCache>
                <c:ptCount val="5"/>
                <c:pt idx="0">
                  <c:v>Ukupna efikasnost (%)</c:v>
                </c:pt>
                <c:pt idx="1">
                  <c:v>Ploča 1 (%)</c:v>
                </c:pt>
                <c:pt idx="2">
                  <c:v>Ploča 2 (%)</c:v>
                </c:pt>
                <c:pt idx="3">
                  <c:v>Ploča 3 (%)</c:v>
                </c:pt>
                <c:pt idx="4">
                  <c:v>Ploča 4 (%)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najbolji_vs_najgori!$B$71:$B$78</c15:sqref>
                  </c15:fullRef>
                </c:ext>
              </c:extLst>
              <c:f>najbolji_vs_najgori!$B$71:$B$75</c:f>
              <c:numCache>
                <c:formatCode>0.00</c:formatCode>
                <c:ptCount val="5"/>
                <c:pt idx="0">
                  <c:v>95.64</c:v>
                </c:pt>
                <c:pt idx="1">
                  <c:v>96.85</c:v>
                </c:pt>
                <c:pt idx="2">
                  <c:v>96.72</c:v>
                </c:pt>
                <c:pt idx="3">
                  <c:v>94.26</c:v>
                </c:pt>
                <c:pt idx="4">
                  <c:v>92.66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C-4CA1-AF2E-CE0FEEE1770B}"/>
            </c:ext>
          </c:extLst>
        </c:ser>
        <c:ser>
          <c:idx val="1"/>
          <c:order val="1"/>
          <c:tx>
            <c:v>Iteracija 49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najbolji_vs_najgori!$A$11:$A$18</c15:sqref>
                  </c15:fullRef>
                </c:ext>
              </c:extLst>
              <c:f>najbolji_vs_najgori!$A$11:$A$15</c:f>
              <c:strCache>
                <c:ptCount val="5"/>
                <c:pt idx="0">
                  <c:v>Ukupna efikasnost (%)</c:v>
                </c:pt>
                <c:pt idx="1">
                  <c:v>Ploča 1 (%)</c:v>
                </c:pt>
                <c:pt idx="2">
                  <c:v>Ploča 2 (%)</c:v>
                </c:pt>
                <c:pt idx="3">
                  <c:v>Ploča 3 (%)</c:v>
                </c:pt>
                <c:pt idx="4">
                  <c:v>Ploča 4 (%)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najbolji_vs_najgori!$C$71:$C$78</c15:sqref>
                  </c15:fullRef>
                </c:ext>
              </c:extLst>
              <c:f>najbolji_vs_najgori!$C$71:$C$75</c:f>
              <c:numCache>
                <c:formatCode>0.00</c:formatCode>
                <c:ptCount val="5"/>
                <c:pt idx="0">
                  <c:v>92.3</c:v>
                </c:pt>
                <c:pt idx="1">
                  <c:v>93.99</c:v>
                </c:pt>
                <c:pt idx="2">
                  <c:v>93.92</c:v>
                </c:pt>
                <c:pt idx="3">
                  <c:v>93.33</c:v>
                </c:pt>
                <c:pt idx="4">
                  <c:v>82.19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6C-4CA1-AF2E-CE0FEEE177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423313599"/>
        <c:axId val="1423312639"/>
      </c:barChart>
      <c:catAx>
        <c:axId val="142331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12639"/>
        <c:crosses val="autoZero"/>
        <c:auto val="1"/>
        <c:lblAlgn val="ctr"/>
        <c:lblOffset val="100"/>
        <c:noMultiLvlLbl val="0"/>
      </c:catAx>
      <c:valAx>
        <c:axId val="1423312639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solidFill>
              <a:schemeClr val="accent1">
                <a:shade val="95000"/>
                <a:satMod val="10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13599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Usporedba najbolje i najgore iteracije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Iteracija 6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najbolji_vs_najgori!$A$11:$A$18</c15:sqref>
                  </c15:fullRef>
                </c:ext>
              </c:extLst>
              <c:f>najbolji_vs_najgori!$A$11:$A$15</c:f>
              <c:strCache>
                <c:ptCount val="5"/>
                <c:pt idx="0">
                  <c:v>Ukupna efikasnost (%)</c:v>
                </c:pt>
                <c:pt idx="1">
                  <c:v>Ploča 1 (%)</c:v>
                </c:pt>
                <c:pt idx="2">
                  <c:v>Ploča 2 (%)</c:v>
                </c:pt>
                <c:pt idx="3">
                  <c:v>Ploča 3 (%)</c:v>
                </c:pt>
                <c:pt idx="4">
                  <c:v>Ploča 4 (%)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najbolji_vs_najgori!$B$130:$B$137</c15:sqref>
                  </c15:fullRef>
                </c:ext>
              </c:extLst>
              <c:f>najbolji_vs_najgori!$B$130:$B$134</c:f>
              <c:numCache>
                <c:formatCode>0.00</c:formatCode>
                <c:ptCount val="5"/>
                <c:pt idx="0">
                  <c:v>95.42</c:v>
                </c:pt>
                <c:pt idx="1">
                  <c:v>97.42</c:v>
                </c:pt>
                <c:pt idx="2">
                  <c:v>96.15</c:v>
                </c:pt>
                <c:pt idx="3">
                  <c:v>94.04</c:v>
                </c:pt>
                <c:pt idx="4">
                  <c:v>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8-49CC-A110-39CD0C763A59}"/>
            </c:ext>
          </c:extLst>
        </c:ser>
        <c:ser>
          <c:idx val="1"/>
          <c:order val="1"/>
          <c:tx>
            <c:v>Iteracija 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najbolji_vs_najgori!$A$11:$A$18</c15:sqref>
                  </c15:fullRef>
                </c:ext>
              </c:extLst>
              <c:f>najbolji_vs_najgori!$A$11:$A$15</c:f>
              <c:strCache>
                <c:ptCount val="5"/>
                <c:pt idx="0">
                  <c:v>Ukupna efikasnost (%)</c:v>
                </c:pt>
                <c:pt idx="1">
                  <c:v>Ploča 1 (%)</c:v>
                </c:pt>
                <c:pt idx="2">
                  <c:v>Ploča 2 (%)</c:v>
                </c:pt>
                <c:pt idx="3">
                  <c:v>Ploča 3 (%)</c:v>
                </c:pt>
                <c:pt idx="4">
                  <c:v>Ploča 4 (%)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najbolji_vs_najgori!$C$130:$C$137</c15:sqref>
                  </c15:fullRef>
                </c:ext>
              </c:extLst>
              <c:f>najbolji_vs_najgori!$C$130:$C$134</c:f>
              <c:numCache>
                <c:formatCode>0.00</c:formatCode>
                <c:ptCount val="5"/>
                <c:pt idx="0">
                  <c:v>92.15</c:v>
                </c:pt>
                <c:pt idx="1">
                  <c:v>97.07</c:v>
                </c:pt>
                <c:pt idx="2">
                  <c:v>94.63</c:v>
                </c:pt>
                <c:pt idx="3">
                  <c:v>88.59</c:v>
                </c:pt>
                <c:pt idx="4">
                  <c:v>83.3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38-49CC-A110-39CD0C763A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423313599"/>
        <c:axId val="1423312639"/>
      </c:barChart>
      <c:catAx>
        <c:axId val="142331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12639"/>
        <c:crosses val="autoZero"/>
        <c:auto val="1"/>
        <c:lblAlgn val="ctr"/>
        <c:lblOffset val="100"/>
        <c:noMultiLvlLbl val="0"/>
      </c:catAx>
      <c:valAx>
        <c:axId val="1423312639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solidFill>
              <a:schemeClr val="accent1">
                <a:shade val="95000"/>
                <a:satMod val="10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13599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Konzistentnost algoritma kroz 50 iteracija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podaci!$A$2:$A$51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podaci!$B$2:$B$51</c:f>
              <c:numCache>
                <c:formatCode>0.00</c:formatCode>
                <c:ptCount val="50"/>
                <c:pt idx="0">
                  <c:v>95.24</c:v>
                </c:pt>
                <c:pt idx="1">
                  <c:v>95.13</c:v>
                </c:pt>
                <c:pt idx="2">
                  <c:v>95.45</c:v>
                </c:pt>
                <c:pt idx="3">
                  <c:v>94.17</c:v>
                </c:pt>
                <c:pt idx="4">
                  <c:v>95.12</c:v>
                </c:pt>
                <c:pt idx="5">
                  <c:v>94.4</c:v>
                </c:pt>
                <c:pt idx="6">
                  <c:v>93.86</c:v>
                </c:pt>
                <c:pt idx="7">
                  <c:v>95.9</c:v>
                </c:pt>
                <c:pt idx="8">
                  <c:v>95.9</c:v>
                </c:pt>
                <c:pt idx="9">
                  <c:v>96.32</c:v>
                </c:pt>
                <c:pt idx="10">
                  <c:v>94.17</c:v>
                </c:pt>
                <c:pt idx="11">
                  <c:v>96.31</c:v>
                </c:pt>
                <c:pt idx="12">
                  <c:v>96.31</c:v>
                </c:pt>
                <c:pt idx="13">
                  <c:v>95.35</c:v>
                </c:pt>
                <c:pt idx="14">
                  <c:v>95.31</c:v>
                </c:pt>
                <c:pt idx="15">
                  <c:v>94.83</c:v>
                </c:pt>
                <c:pt idx="16">
                  <c:v>95.15</c:v>
                </c:pt>
                <c:pt idx="17">
                  <c:v>95.16</c:v>
                </c:pt>
                <c:pt idx="18">
                  <c:v>95.1</c:v>
                </c:pt>
                <c:pt idx="19">
                  <c:v>95.9</c:v>
                </c:pt>
                <c:pt idx="20">
                  <c:v>94.47</c:v>
                </c:pt>
                <c:pt idx="21">
                  <c:v>95.04</c:v>
                </c:pt>
                <c:pt idx="22">
                  <c:v>96.42</c:v>
                </c:pt>
                <c:pt idx="23">
                  <c:v>95.21</c:v>
                </c:pt>
                <c:pt idx="24">
                  <c:v>95.22</c:v>
                </c:pt>
                <c:pt idx="25">
                  <c:v>95.52</c:v>
                </c:pt>
                <c:pt idx="26">
                  <c:v>93.72</c:v>
                </c:pt>
                <c:pt idx="27">
                  <c:v>95.9</c:v>
                </c:pt>
                <c:pt idx="28">
                  <c:v>95.35</c:v>
                </c:pt>
                <c:pt idx="29">
                  <c:v>94.01</c:v>
                </c:pt>
                <c:pt idx="30">
                  <c:v>96.42</c:v>
                </c:pt>
                <c:pt idx="31">
                  <c:v>94.1</c:v>
                </c:pt>
                <c:pt idx="32">
                  <c:v>95.9</c:v>
                </c:pt>
                <c:pt idx="33">
                  <c:v>93.68</c:v>
                </c:pt>
                <c:pt idx="34">
                  <c:v>95.08</c:v>
                </c:pt>
                <c:pt idx="35">
                  <c:v>95.81</c:v>
                </c:pt>
                <c:pt idx="36">
                  <c:v>95.35</c:v>
                </c:pt>
                <c:pt idx="37">
                  <c:v>94.37</c:v>
                </c:pt>
                <c:pt idx="38">
                  <c:v>95.35</c:v>
                </c:pt>
                <c:pt idx="39">
                  <c:v>93.98</c:v>
                </c:pt>
                <c:pt idx="40">
                  <c:v>95.62</c:v>
                </c:pt>
                <c:pt idx="41">
                  <c:v>94.78</c:v>
                </c:pt>
                <c:pt idx="42">
                  <c:v>94.01</c:v>
                </c:pt>
                <c:pt idx="43">
                  <c:v>94.56</c:v>
                </c:pt>
                <c:pt idx="44">
                  <c:v>96.31</c:v>
                </c:pt>
                <c:pt idx="45">
                  <c:v>95.18</c:v>
                </c:pt>
                <c:pt idx="46">
                  <c:v>94.12</c:v>
                </c:pt>
                <c:pt idx="47">
                  <c:v>94.47</c:v>
                </c:pt>
                <c:pt idx="48">
                  <c:v>95.25</c:v>
                </c:pt>
                <c:pt idx="49">
                  <c:v>95.19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8D-4B87-A158-928FF380D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805439"/>
        <c:axId val="1622813599"/>
      </c:lineChart>
      <c:catAx>
        <c:axId val="1622805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Broj iteracije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813599"/>
        <c:crosses val="autoZero"/>
        <c:auto val="1"/>
        <c:lblAlgn val="ctr"/>
        <c:lblOffset val="100"/>
        <c:noMultiLvlLbl val="0"/>
      </c:catAx>
      <c:valAx>
        <c:axId val="162281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Ukupna 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80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Pad efikasnosti na zadnjoj ploči (sortirano)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podaci!$S$2:$S$51</c:f>
              <c:numCache>
                <c:formatCode>General</c:formatCode>
                <c:ptCount val="50"/>
                <c:pt idx="0">
                  <c:v>10</c:v>
                </c:pt>
                <c:pt idx="1">
                  <c:v>2</c:v>
                </c:pt>
                <c:pt idx="2">
                  <c:v>12</c:v>
                </c:pt>
                <c:pt idx="3">
                  <c:v>13</c:v>
                </c:pt>
                <c:pt idx="4">
                  <c:v>45</c:v>
                </c:pt>
                <c:pt idx="5">
                  <c:v>26</c:v>
                </c:pt>
                <c:pt idx="6">
                  <c:v>44</c:v>
                </c:pt>
                <c:pt idx="7">
                  <c:v>37</c:v>
                </c:pt>
                <c:pt idx="8">
                  <c:v>25</c:v>
                </c:pt>
                <c:pt idx="9">
                  <c:v>17</c:v>
                </c:pt>
                <c:pt idx="10">
                  <c:v>15</c:v>
                </c:pt>
                <c:pt idx="11">
                  <c:v>41</c:v>
                </c:pt>
                <c:pt idx="12">
                  <c:v>29</c:v>
                </c:pt>
                <c:pt idx="13">
                  <c:v>22</c:v>
                </c:pt>
                <c:pt idx="14">
                  <c:v>36</c:v>
                </c:pt>
                <c:pt idx="15">
                  <c:v>33</c:v>
                </c:pt>
                <c:pt idx="16">
                  <c:v>8</c:v>
                </c:pt>
                <c:pt idx="17">
                  <c:v>9</c:v>
                </c:pt>
                <c:pt idx="18">
                  <c:v>20</c:v>
                </c:pt>
                <c:pt idx="19">
                  <c:v>28</c:v>
                </c:pt>
                <c:pt idx="20">
                  <c:v>3</c:v>
                </c:pt>
                <c:pt idx="21">
                  <c:v>23</c:v>
                </c:pt>
                <c:pt idx="22">
                  <c:v>31</c:v>
                </c:pt>
                <c:pt idx="23">
                  <c:v>49</c:v>
                </c:pt>
                <c:pt idx="24">
                  <c:v>5</c:v>
                </c:pt>
                <c:pt idx="25">
                  <c:v>50</c:v>
                </c:pt>
                <c:pt idx="26">
                  <c:v>1</c:v>
                </c:pt>
                <c:pt idx="27">
                  <c:v>24</c:v>
                </c:pt>
                <c:pt idx="28">
                  <c:v>38</c:v>
                </c:pt>
                <c:pt idx="29">
                  <c:v>19</c:v>
                </c:pt>
                <c:pt idx="30">
                  <c:v>35</c:v>
                </c:pt>
                <c:pt idx="31">
                  <c:v>48</c:v>
                </c:pt>
                <c:pt idx="32">
                  <c:v>39</c:v>
                </c:pt>
                <c:pt idx="33">
                  <c:v>18</c:v>
                </c:pt>
                <c:pt idx="34">
                  <c:v>46</c:v>
                </c:pt>
                <c:pt idx="35">
                  <c:v>42</c:v>
                </c:pt>
                <c:pt idx="36">
                  <c:v>14</c:v>
                </c:pt>
                <c:pt idx="37">
                  <c:v>43</c:v>
                </c:pt>
                <c:pt idx="38">
                  <c:v>27</c:v>
                </c:pt>
                <c:pt idx="39">
                  <c:v>32</c:v>
                </c:pt>
                <c:pt idx="40">
                  <c:v>30</c:v>
                </c:pt>
                <c:pt idx="41">
                  <c:v>16</c:v>
                </c:pt>
                <c:pt idx="42">
                  <c:v>40</c:v>
                </c:pt>
                <c:pt idx="43">
                  <c:v>7</c:v>
                </c:pt>
                <c:pt idx="44">
                  <c:v>6</c:v>
                </c:pt>
                <c:pt idx="45">
                  <c:v>11</c:v>
                </c:pt>
                <c:pt idx="46">
                  <c:v>21</c:v>
                </c:pt>
                <c:pt idx="47">
                  <c:v>47</c:v>
                </c:pt>
                <c:pt idx="48">
                  <c:v>34</c:v>
                </c:pt>
                <c:pt idx="49">
                  <c:v>4</c:v>
                </c:pt>
              </c:numCache>
            </c:numRef>
          </c:cat>
          <c:val>
            <c:numRef>
              <c:f>podaci!$T$2:$T$51</c:f>
              <c:numCache>
                <c:formatCode>General</c:formatCode>
                <c:ptCount val="50"/>
                <c:pt idx="0">
                  <c:v>0.98000000000000398</c:v>
                </c:pt>
                <c:pt idx="1">
                  <c:v>1.2099999999999937</c:v>
                </c:pt>
                <c:pt idx="2">
                  <c:v>1.2099999999999937</c:v>
                </c:pt>
                <c:pt idx="3">
                  <c:v>1.2099999999999937</c:v>
                </c:pt>
                <c:pt idx="4">
                  <c:v>1.2099999999999937</c:v>
                </c:pt>
                <c:pt idx="5">
                  <c:v>1.8199999999999932</c:v>
                </c:pt>
                <c:pt idx="6">
                  <c:v>3.2099999999999937</c:v>
                </c:pt>
                <c:pt idx="7">
                  <c:v>3.5</c:v>
                </c:pt>
                <c:pt idx="8">
                  <c:v>4.1799999999999926</c:v>
                </c:pt>
                <c:pt idx="9">
                  <c:v>4.1899999999999977</c:v>
                </c:pt>
                <c:pt idx="10">
                  <c:v>5.2600000000000051</c:v>
                </c:pt>
                <c:pt idx="11">
                  <c:v>5.3199999999999932</c:v>
                </c:pt>
                <c:pt idx="12">
                  <c:v>6.039999999999992</c:v>
                </c:pt>
                <c:pt idx="13">
                  <c:v>6.2600000000000051</c:v>
                </c:pt>
                <c:pt idx="14">
                  <c:v>6.2900000000000063</c:v>
                </c:pt>
                <c:pt idx="15">
                  <c:v>6.5900000000000034</c:v>
                </c:pt>
                <c:pt idx="16">
                  <c:v>6.7099999999999937</c:v>
                </c:pt>
                <c:pt idx="17">
                  <c:v>6.7099999999999937</c:v>
                </c:pt>
                <c:pt idx="18">
                  <c:v>6.7099999999999937</c:v>
                </c:pt>
                <c:pt idx="19">
                  <c:v>6.7099999999999937</c:v>
                </c:pt>
                <c:pt idx="20">
                  <c:v>7.3499999999999943</c:v>
                </c:pt>
                <c:pt idx="21">
                  <c:v>7.5900000000000034</c:v>
                </c:pt>
                <c:pt idx="22">
                  <c:v>7.5900000000000034</c:v>
                </c:pt>
                <c:pt idx="23">
                  <c:v>7.6299999999999955</c:v>
                </c:pt>
                <c:pt idx="24">
                  <c:v>7.6400000000000006</c:v>
                </c:pt>
                <c:pt idx="25">
                  <c:v>8.1299999999999955</c:v>
                </c:pt>
                <c:pt idx="26">
                  <c:v>8.1899999999999977</c:v>
                </c:pt>
                <c:pt idx="27">
                  <c:v>8.36</c:v>
                </c:pt>
                <c:pt idx="28">
                  <c:v>8.61</c:v>
                </c:pt>
                <c:pt idx="29">
                  <c:v>8.6799999999999926</c:v>
                </c:pt>
                <c:pt idx="30">
                  <c:v>8.6900000000000119</c:v>
                </c:pt>
                <c:pt idx="31">
                  <c:v>8.9099999999999966</c:v>
                </c:pt>
                <c:pt idx="32">
                  <c:v>9.1500000000000057</c:v>
                </c:pt>
                <c:pt idx="33">
                  <c:v>10.349999999999994</c:v>
                </c:pt>
                <c:pt idx="34">
                  <c:v>10.36999999999999</c:v>
                </c:pt>
                <c:pt idx="35">
                  <c:v>10.829999999999998</c:v>
                </c:pt>
                <c:pt idx="36">
                  <c:v>12.780000000000001</c:v>
                </c:pt>
                <c:pt idx="37">
                  <c:v>13.36</c:v>
                </c:pt>
                <c:pt idx="38">
                  <c:v>13.469999999999999</c:v>
                </c:pt>
                <c:pt idx="39">
                  <c:v>14.289999999999992</c:v>
                </c:pt>
                <c:pt idx="40">
                  <c:v>16.090000000000003</c:v>
                </c:pt>
                <c:pt idx="41">
                  <c:v>16.939999999999998</c:v>
                </c:pt>
                <c:pt idx="42">
                  <c:v>17.279999999999987</c:v>
                </c:pt>
                <c:pt idx="43">
                  <c:v>17.679999999999993</c:v>
                </c:pt>
                <c:pt idx="44">
                  <c:v>17.799999999999997</c:v>
                </c:pt>
                <c:pt idx="45">
                  <c:v>17.829999999999998</c:v>
                </c:pt>
                <c:pt idx="46">
                  <c:v>18.340000000000003</c:v>
                </c:pt>
                <c:pt idx="47">
                  <c:v>18.480000000000004</c:v>
                </c:pt>
                <c:pt idx="48">
                  <c:v>20.679999999999993</c:v>
                </c:pt>
                <c:pt idx="49">
                  <c:v>21.259999999999991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4-4A24-A82C-40C51818A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431663"/>
        <c:axId val="1672430223"/>
      </c:barChart>
      <c:catAx>
        <c:axId val="167243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Iteracija (sortirano)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430223"/>
        <c:crosses val="autoZero"/>
        <c:auto val="1"/>
        <c:lblAlgn val="ctr"/>
        <c:lblOffset val="100"/>
        <c:noMultiLvlLbl val="0"/>
      </c:catAx>
      <c:valAx>
        <c:axId val="16724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Pad efikasnosti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43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Konzistentnost algoritma kroz 50 iteracija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podaci!$B$62:$B$111</c:f>
              <c:numCache>
                <c:formatCode>0.00</c:formatCode>
                <c:ptCount val="50"/>
                <c:pt idx="0">
                  <c:v>92.59</c:v>
                </c:pt>
                <c:pt idx="1">
                  <c:v>94.51</c:v>
                </c:pt>
                <c:pt idx="2">
                  <c:v>93.75</c:v>
                </c:pt>
                <c:pt idx="3">
                  <c:v>93.81</c:v>
                </c:pt>
                <c:pt idx="4">
                  <c:v>93.31</c:v>
                </c:pt>
                <c:pt idx="5">
                  <c:v>92.76</c:v>
                </c:pt>
                <c:pt idx="6">
                  <c:v>93.31</c:v>
                </c:pt>
                <c:pt idx="7">
                  <c:v>93.85</c:v>
                </c:pt>
                <c:pt idx="8">
                  <c:v>94.31</c:v>
                </c:pt>
                <c:pt idx="9">
                  <c:v>93.61</c:v>
                </c:pt>
                <c:pt idx="10">
                  <c:v>93.35</c:v>
                </c:pt>
                <c:pt idx="11">
                  <c:v>93.49</c:v>
                </c:pt>
                <c:pt idx="12">
                  <c:v>93.37</c:v>
                </c:pt>
                <c:pt idx="13">
                  <c:v>93.31</c:v>
                </c:pt>
                <c:pt idx="14">
                  <c:v>94.35</c:v>
                </c:pt>
                <c:pt idx="15">
                  <c:v>94.7</c:v>
                </c:pt>
                <c:pt idx="16">
                  <c:v>95.01</c:v>
                </c:pt>
                <c:pt idx="17">
                  <c:v>94.03</c:v>
                </c:pt>
                <c:pt idx="18">
                  <c:v>94.5</c:v>
                </c:pt>
                <c:pt idx="19">
                  <c:v>94.65</c:v>
                </c:pt>
                <c:pt idx="20">
                  <c:v>93.58</c:v>
                </c:pt>
                <c:pt idx="21">
                  <c:v>93.66</c:v>
                </c:pt>
                <c:pt idx="22">
                  <c:v>94.11</c:v>
                </c:pt>
                <c:pt idx="23">
                  <c:v>94.84</c:v>
                </c:pt>
                <c:pt idx="24">
                  <c:v>93.48</c:v>
                </c:pt>
                <c:pt idx="25">
                  <c:v>94.83</c:v>
                </c:pt>
                <c:pt idx="26">
                  <c:v>94.47</c:v>
                </c:pt>
                <c:pt idx="27">
                  <c:v>92.59</c:v>
                </c:pt>
                <c:pt idx="28">
                  <c:v>93.31</c:v>
                </c:pt>
                <c:pt idx="29">
                  <c:v>94.33</c:v>
                </c:pt>
                <c:pt idx="30">
                  <c:v>93.97</c:v>
                </c:pt>
                <c:pt idx="31">
                  <c:v>94.17</c:v>
                </c:pt>
                <c:pt idx="32">
                  <c:v>94.05</c:v>
                </c:pt>
                <c:pt idx="33">
                  <c:v>93.74</c:v>
                </c:pt>
                <c:pt idx="34">
                  <c:v>93.86</c:v>
                </c:pt>
                <c:pt idx="35">
                  <c:v>93.59</c:v>
                </c:pt>
                <c:pt idx="36">
                  <c:v>93.92</c:v>
                </c:pt>
                <c:pt idx="37">
                  <c:v>94.52</c:v>
                </c:pt>
                <c:pt idx="38">
                  <c:v>95.11</c:v>
                </c:pt>
                <c:pt idx="39">
                  <c:v>94.11</c:v>
                </c:pt>
                <c:pt idx="40">
                  <c:v>94.03</c:v>
                </c:pt>
                <c:pt idx="41">
                  <c:v>93.88</c:v>
                </c:pt>
                <c:pt idx="42">
                  <c:v>93.5</c:v>
                </c:pt>
                <c:pt idx="43">
                  <c:v>93.78</c:v>
                </c:pt>
                <c:pt idx="44">
                  <c:v>94.11</c:v>
                </c:pt>
                <c:pt idx="45">
                  <c:v>94.52</c:v>
                </c:pt>
                <c:pt idx="46">
                  <c:v>95.51</c:v>
                </c:pt>
                <c:pt idx="47">
                  <c:v>95.64</c:v>
                </c:pt>
                <c:pt idx="48">
                  <c:v>92.3</c:v>
                </c:pt>
                <c:pt idx="49">
                  <c:v>94.78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9D-42D8-96D1-FB255972E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805439"/>
        <c:axId val="1622813599"/>
      </c:lineChart>
      <c:catAx>
        <c:axId val="1622805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Broj iteracije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813599"/>
        <c:crosses val="autoZero"/>
        <c:auto val="1"/>
        <c:lblAlgn val="ctr"/>
        <c:lblOffset val="100"/>
        <c:noMultiLvlLbl val="0"/>
      </c:catAx>
      <c:valAx>
        <c:axId val="1622813599"/>
        <c:scaling>
          <c:orientation val="minMax"/>
          <c:max val="97"/>
          <c:min val="9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Ukupna 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80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Pad efikasnosti na zadnjoj ploči (sortirano)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podaci!$S$62:$S$111</c:f>
              <c:numCache>
                <c:formatCode>General</c:formatCode>
                <c:ptCount val="50"/>
                <c:pt idx="0">
                  <c:v>18</c:v>
                </c:pt>
                <c:pt idx="1">
                  <c:v>23</c:v>
                </c:pt>
                <c:pt idx="2">
                  <c:v>40</c:v>
                </c:pt>
                <c:pt idx="3">
                  <c:v>45</c:v>
                </c:pt>
                <c:pt idx="4">
                  <c:v>48</c:v>
                </c:pt>
                <c:pt idx="5">
                  <c:v>47</c:v>
                </c:pt>
                <c:pt idx="6">
                  <c:v>17</c:v>
                </c:pt>
                <c:pt idx="7">
                  <c:v>15</c:v>
                </c:pt>
                <c:pt idx="8">
                  <c:v>26</c:v>
                </c:pt>
                <c:pt idx="9">
                  <c:v>20</c:v>
                </c:pt>
                <c:pt idx="10">
                  <c:v>2</c:v>
                </c:pt>
                <c:pt idx="11">
                  <c:v>50</c:v>
                </c:pt>
                <c:pt idx="12">
                  <c:v>24</c:v>
                </c:pt>
                <c:pt idx="13">
                  <c:v>30</c:v>
                </c:pt>
                <c:pt idx="14">
                  <c:v>36</c:v>
                </c:pt>
                <c:pt idx="15">
                  <c:v>21</c:v>
                </c:pt>
                <c:pt idx="16">
                  <c:v>12</c:v>
                </c:pt>
                <c:pt idx="17">
                  <c:v>19</c:v>
                </c:pt>
                <c:pt idx="18">
                  <c:v>37</c:v>
                </c:pt>
                <c:pt idx="19">
                  <c:v>43</c:v>
                </c:pt>
                <c:pt idx="20">
                  <c:v>25</c:v>
                </c:pt>
                <c:pt idx="21">
                  <c:v>33</c:v>
                </c:pt>
                <c:pt idx="22">
                  <c:v>35</c:v>
                </c:pt>
                <c:pt idx="23">
                  <c:v>29</c:v>
                </c:pt>
                <c:pt idx="24">
                  <c:v>9</c:v>
                </c:pt>
                <c:pt idx="25">
                  <c:v>5</c:v>
                </c:pt>
                <c:pt idx="26">
                  <c:v>34</c:v>
                </c:pt>
                <c:pt idx="27">
                  <c:v>41</c:v>
                </c:pt>
                <c:pt idx="28">
                  <c:v>39</c:v>
                </c:pt>
                <c:pt idx="29">
                  <c:v>6</c:v>
                </c:pt>
                <c:pt idx="30">
                  <c:v>3</c:v>
                </c:pt>
                <c:pt idx="31">
                  <c:v>38</c:v>
                </c:pt>
                <c:pt idx="32">
                  <c:v>31</c:v>
                </c:pt>
                <c:pt idx="33">
                  <c:v>14</c:v>
                </c:pt>
                <c:pt idx="34">
                  <c:v>1</c:v>
                </c:pt>
                <c:pt idx="35">
                  <c:v>28</c:v>
                </c:pt>
                <c:pt idx="36">
                  <c:v>32</c:v>
                </c:pt>
                <c:pt idx="37">
                  <c:v>13</c:v>
                </c:pt>
                <c:pt idx="38">
                  <c:v>7</c:v>
                </c:pt>
                <c:pt idx="39">
                  <c:v>49</c:v>
                </c:pt>
                <c:pt idx="40">
                  <c:v>22</c:v>
                </c:pt>
                <c:pt idx="41">
                  <c:v>27</c:v>
                </c:pt>
                <c:pt idx="42">
                  <c:v>46</c:v>
                </c:pt>
                <c:pt idx="43">
                  <c:v>42</c:v>
                </c:pt>
                <c:pt idx="44">
                  <c:v>4</c:v>
                </c:pt>
                <c:pt idx="45">
                  <c:v>16</c:v>
                </c:pt>
                <c:pt idx="46">
                  <c:v>10</c:v>
                </c:pt>
                <c:pt idx="47">
                  <c:v>8</c:v>
                </c:pt>
                <c:pt idx="48">
                  <c:v>11</c:v>
                </c:pt>
                <c:pt idx="49">
                  <c:v>44</c:v>
                </c:pt>
              </c:numCache>
            </c:numRef>
          </c:cat>
          <c:val>
            <c:numRef>
              <c:f>podaci!$T$62:$T$111</c:f>
              <c:numCache>
                <c:formatCode>General</c:formatCode>
                <c:ptCount val="50"/>
                <c:pt idx="0">
                  <c:v>-1.3400000000000034</c:v>
                </c:pt>
                <c:pt idx="1">
                  <c:v>0.75</c:v>
                </c:pt>
                <c:pt idx="2">
                  <c:v>0.75</c:v>
                </c:pt>
                <c:pt idx="3">
                  <c:v>0.81999999999999318</c:v>
                </c:pt>
                <c:pt idx="4">
                  <c:v>1.6000000000000085</c:v>
                </c:pt>
                <c:pt idx="5">
                  <c:v>2.7399999999999949</c:v>
                </c:pt>
                <c:pt idx="6">
                  <c:v>2.8700000000000045</c:v>
                </c:pt>
                <c:pt idx="7">
                  <c:v>3.5499999999999972</c:v>
                </c:pt>
                <c:pt idx="8">
                  <c:v>3.8800000000000097</c:v>
                </c:pt>
                <c:pt idx="9">
                  <c:v>4.2800000000000011</c:v>
                </c:pt>
                <c:pt idx="10">
                  <c:v>4.4500000000000028</c:v>
                </c:pt>
                <c:pt idx="11">
                  <c:v>4.7399999999999949</c:v>
                </c:pt>
                <c:pt idx="12">
                  <c:v>4.8400000000000034</c:v>
                </c:pt>
                <c:pt idx="13">
                  <c:v>4.9200000000000017</c:v>
                </c:pt>
                <c:pt idx="14">
                  <c:v>5.9199999999999875</c:v>
                </c:pt>
                <c:pt idx="15">
                  <c:v>6.1099999999999994</c:v>
                </c:pt>
                <c:pt idx="16">
                  <c:v>6.1300000000000097</c:v>
                </c:pt>
                <c:pt idx="17">
                  <c:v>6.3499999999999943</c:v>
                </c:pt>
                <c:pt idx="18">
                  <c:v>6.5</c:v>
                </c:pt>
                <c:pt idx="19">
                  <c:v>6.5400000000000063</c:v>
                </c:pt>
                <c:pt idx="20">
                  <c:v>6.8399999999999892</c:v>
                </c:pt>
                <c:pt idx="21">
                  <c:v>7.2400000000000091</c:v>
                </c:pt>
                <c:pt idx="22">
                  <c:v>7.2999999999999972</c:v>
                </c:pt>
                <c:pt idx="23">
                  <c:v>7.4299999999999926</c:v>
                </c:pt>
                <c:pt idx="24">
                  <c:v>7.4500000000000028</c:v>
                </c:pt>
                <c:pt idx="25">
                  <c:v>7.4899999999999949</c:v>
                </c:pt>
                <c:pt idx="26">
                  <c:v>8.0099999999999909</c:v>
                </c:pt>
                <c:pt idx="27">
                  <c:v>8.3100000000000023</c:v>
                </c:pt>
                <c:pt idx="28">
                  <c:v>8.36</c:v>
                </c:pt>
                <c:pt idx="29">
                  <c:v>8.519999999999996</c:v>
                </c:pt>
                <c:pt idx="30">
                  <c:v>8.5999999999999943</c:v>
                </c:pt>
                <c:pt idx="31">
                  <c:v>8.6199999999999903</c:v>
                </c:pt>
                <c:pt idx="32">
                  <c:v>9.4000000000000057</c:v>
                </c:pt>
                <c:pt idx="33">
                  <c:v>9.4200000000000017</c:v>
                </c:pt>
                <c:pt idx="34">
                  <c:v>9.6599999999999966</c:v>
                </c:pt>
                <c:pt idx="35">
                  <c:v>9.6599999999999966</c:v>
                </c:pt>
                <c:pt idx="36">
                  <c:v>9.8500000000000085</c:v>
                </c:pt>
                <c:pt idx="37">
                  <c:v>10.440000000000012</c:v>
                </c:pt>
                <c:pt idx="38">
                  <c:v>10.659999999999997</c:v>
                </c:pt>
                <c:pt idx="39">
                  <c:v>11.14</c:v>
                </c:pt>
                <c:pt idx="40">
                  <c:v>11.180000000000007</c:v>
                </c:pt>
                <c:pt idx="41">
                  <c:v>11.399999999999991</c:v>
                </c:pt>
                <c:pt idx="42">
                  <c:v>11.689999999999998</c:v>
                </c:pt>
                <c:pt idx="43">
                  <c:v>12.02000000000001</c:v>
                </c:pt>
                <c:pt idx="44">
                  <c:v>12.079999999999998</c:v>
                </c:pt>
                <c:pt idx="45">
                  <c:v>12.179999999999993</c:v>
                </c:pt>
                <c:pt idx="46">
                  <c:v>12.86</c:v>
                </c:pt>
                <c:pt idx="47">
                  <c:v>12.97999999999999</c:v>
                </c:pt>
                <c:pt idx="48">
                  <c:v>16.36</c:v>
                </c:pt>
                <c:pt idx="49">
                  <c:v>17.799999999999997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C-45D2-8890-E7350B48A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431663"/>
        <c:axId val="1672430223"/>
      </c:barChart>
      <c:catAx>
        <c:axId val="167243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Iteracija (sortirano)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430223"/>
        <c:crosses val="autoZero"/>
        <c:auto val="1"/>
        <c:lblAlgn val="ctr"/>
        <c:lblOffset val="100"/>
        <c:noMultiLvlLbl val="0"/>
      </c:catAx>
      <c:valAx>
        <c:axId val="16724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Pad efikasnosti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43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Konzistentnost algoritma kroz 50 iteracija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podaci!$B$121:$B$170</c:f>
              <c:numCache>
                <c:formatCode>0.00</c:formatCode>
                <c:ptCount val="50"/>
                <c:pt idx="0">
                  <c:v>95.39</c:v>
                </c:pt>
                <c:pt idx="1">
                  <c:v>95.36</c:v>
                </c:pt>
                <c:pt idx="2">
                  <c:v>93.02</c:v>
                </c:pt>
                <c:pt idx="3">
                  <c:v>93.39</c:v>
                </c:pt>
                <c:pt idx="4">
                  <c:v>95.06</c:v>
                </c:pt>
                <c:pt idx="5">
                  <c:v>95.42</c:v>
                </c:pt>
                <c:pt idx="6">
                  <c:v>95.17</c:v>
                </c:pt>
                <c:pt idx="7">
                  <c:v>95.16</c:v>
                </c:pt>
                <c:pt idx="8">
                  <c:v>94.78</c:v>
                </c:pt>
                <c:pt idx="9">
                  <c:v>93.52</c:v>
                </c:pt>
                <c:pt idx="10">
                  <c:v>94.5</c:v>
                </c:pt>
                <c:pt idx="11">
                  <c:v>94.13</c:v>
                </c:pt>
                <c:pt idx="12">
                  <c:v>94.93</c:v>
                </c:pt>
                <c:pt idx="13">
                  <c:v>93.2</c:v>
                </c:pt>
                <c:pt idx="14">
                  <c:v>93.2</c:v>
                </c:pt>
                <c:pt idx="15">
                  <c:v>94.68</c:v>
                </c:pt>
                <c:pt idx="16">
                  <c:v>94.88</c:v>
                </c:pt>
                <c:pt idx="17">
                  <c:v>93.2</c:v>
                </c:pt>
                <c:pt idx="18">
                  <c:v>94.04</c:v>
                </c:pt>
                <c:pt idx="19">
                  <c:v>94.91</c:v>
                </c:pt>
                <c:pt idx="20">
                  <c:v>93.7</c:v>
                </c:pt>
                <c:pt idx="21">
                  <c:v>93.19</c:v>
                </c:pt>
                <c:pt idx="22">
                  <c:v>94.32</c:v>
                </c:pt>
                <c:pt idx="23">
                  <c:v>93.46</c:v>
                </c:pt>
                <c:pt idx="24">
                  <c:v>92.15</c:v>
                </c:pt>
                <c:pt idx="25">
                  <c:v>94.5</c:v>
                </c:pt>
                <c:pt idx="26">
                  <c:v>94.06</c:v>
                </c:pt>
                <c:pt idx="27">
                  <c:v>93.56</c:v>
                </c:pt>
                <c:pt idx="28">
                  <c:v>93.66</c:v>
                </c:pt>
                <c:pt idx="29">
                  <c:v>95</c:v>
                </c:pt>
                <c:pt idx="30">
                  <c:v>95.42</c:v>
                </c:pt>
                <c:pt idx="31">
                  <c:v>93.66</c:v>
                </c:pt>
                <c:pt idx="32">
                  <c:v>94.61</c:v>
                </c:pt>
                <c:pt idx="33">
                  <c:v>93.1</c:v>
                </c:pt>
                <c:pt idx="34">
                  <c:v>94.05</c:v>
                </c:pt>
                <c:pt idx="35">
                  <c:v>95.22</c:v>
                </c:pt>
                <c:pt idx="36">
                  <c:v>93.43</c:v>
                </c:pt>
                <c:pt idx="37">
                  <c:v>93.83</c:v>
                </c:pt>
                <c:pt idx="38">
                  <c:v>94.11</c:v>
                </c:pt>
                <c:pt idx="39">
                  <c:v>94.35</c:v>
                </c:pt>
                <c:pt idx="40">
                  <c:v>94.97</c:v>
                </c:pt>
                <c:pt idx="41">
                  <c:v>94.5</c:v>
                </c:pt>
                <c:pt idx="42">
                  <c:v>94.91</c:v>
                </c:pt>
                <c:pt idx="43">
                  <c:v>93.48</c:v>
                </c:pt>
                <c:pt idx="44">
                  <c:v>93.8</c:v>
                </c:pt>
                <c:pt idx="45">
                  <c:v>93.43</c:v>
                </c:pt>
                <c:pt idx="46">
                  <c:v>93.7</c:v>
                </c:pt>
                <c:pt idx="47">
                  <c:v>94.96</c:v>
                </c:pt>
                <c:pt idx="48">
                  <c:v>93.96</c:v>
                </c:pt>
                <c:pt idx="49">
                  <c:v>93.94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75-4542-B96D-44BDCBBDE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805439"/>
        <c:axId val="1622813599"/>
      </c:lineChart>
      <c:catAx>
        <c:axId val="1622805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Broj iteracije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813599"/>
        <c:crosses val="autoZero"/>
        <c:auto val="1"/>
        <c:lblAlgn val="ctr"/>
        <c:lblOffset val="100"/>
        <c:noMultiLvlLbl val="0"/>
      </c:catAx>
      <c:valAx>
        <c:axId val="1622813599"/>
        <c:scaling>
          <c:orientation val="minMax"/>
          <c:max val="97"/>
          <c:min val="9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Ukupna 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80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Pad efikasnosti na zadnjoj ploči (sortirano)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podaci!$T$121:$T$170</c:f>
              <c:numCache>
                <c:formatCode>General</c:formatCode>
                <c:ptCount val="50"/>
                <c:pt idx="0">
                  <c:v>-0.25999999999999091</c:v>
                </c:pt>
                <c:pt idx="1">
                  <c:v>0.64000000000000057</c:v>
                </c:pt>
                <c:pt idx="2">
                  <c:v>0.71999999999999886</c:v>
                </c:pt>
                <c:pt idx="3">
                  <c:v>0.79999999999999716</c:v>
                </c:pt>
                <c:pt idx="4">
                  <c:v>0.81999999999999318</c:v>
                </c:pt>
                <c:pt idx="5">
                  <c:v>1.2900000000000063</c:v>
                </c:pt>
                <c:pt idx="6">
                  <c:v>1.8799999999999955</c:v>
                </c:pt>
                <c:pt idx="7">
                  <c:v>2.2399999999999949</c:v>
                </c:pt>
                <c:pt idx="8">
                  <c:v>2.539999999999992</c:v>
                </c:pt>
                <c:pt idx="9">
                  <c:v>2.7999999999999972</c:v>
                </c:pt>
                <c:pt idx="10">
                  <c:v>2.8700000000000045</c:v>
                </c:pt>
                <c:pt idx="11">
                  <c:v>2.8900000000000006</c:v>
                </c:pt>
                <c:pt idx="12">
                  <c:v>3.1700000000000017</c:v>
                </c:pt>
                <c:pt idx="13">
                  <c:v>3.3400000000000034</c:v>
                </c:pt>
                <c:pt idx="14">
                  <c:v>3.8200000000000074</c:v>
                </c:pt>
                <c:pt idx="15">
                  <c:v>4.0700000000000074</c:v>
                </c:pt>
                <c:pt idx="16">
                  <c:v>4.1300000000000097</c:v>
                </c:pt>
                <c:pt idx="17">
                  <c:v>4.5800000000000125</c:v>
                </c:pt>
                <c:pt idx="18">
                  <c:v>4.7900000000000063</c:v>
                </c:pt>
                <c:pt idx="19">
                  <c:v>4.9899999999999949</c:v>
                </c:pt>
                <c:pt idx="20">
                  <c:v>5.25</c:v>
                </c:pt>
                <c:pt idx="21">
                  <c:v>5.2900000000000063</c:v>
                </c:pt>
                <c:pt idx="22">
                  <c:v>5.6500000000000057</c:v>
                </c:pt>
                <c:pt idx="23">
                  <c:v>5.7000000000000028</c:v>
                </c:pt>
                <c:pt idx="24">
                  <c:v>5.8699999999999903</c:v>
                </c:pt>
                <c:pt idx="25">
                  <c:v>6.2800000000000011</c:v>
                </c:pt>
                <c:pt idx="26">
                  <c:v>6.3599999999999994</c:v>
                </c:pt>
                <c:pt idx="27">
                  <c:v>6.4699999999999989</c:v>
                </c:pt>
                <c:pt idx="28">
                  <c:v>6.7999999999999972</c:v>
                </c:pt>
                <c:pt idx="29">
                  <c:v>6.8400000000000034</c:v>
                </c:pt>
                <c:pt idx="30">
                  <c:v>7.1700000000000017</c:v>
                </c:pt>
                <c:pt idx="31">
                  <c:v>7.3400000000000034</c:v>
                </c:pt>
                <c:pt idx="32">
                  <c:v>7.4099999999999966</c:v>
                </c:pt>
                <c:pt idx="33">
                  <c:v>7.5799999999999983</c:v>
                </c:pt>
                <c:pt idx="34">
                  <c:v>7.75</c:v>
                </c:pt>
                <c:pt idx="35">
                  <c:v>8.11</c:v>
                </c:pt>
                <c:pt idx="36">
                  <c:v>8.1299999999999955</c:v>
                </c:pt>
                <c:pt idx="37">
                  <c:v>8.269999999999996</c:v>
                </c:pt>
                <c:pt idx="38">
                  <c:v>8.269999999999996</c:v>
                </c:pt>
                <c:pt idx="39">
                  <c:v>8.9599999999999937</c:v>
                </c:pt>
                <c:pt idx="40">
                  <c:v>9.1900000000000119</c:v>
                </c:pt>
                <c:pt idx="41">
                  <c:v>9.4699999999999989</c:v>
                </c:pt>
                <c:pt idx="42">
                  <c:v>9.9599999999999937</c:v>
                </c:pt>
                <c:pt idx="43">
                  <c:v>10.850000000000009</c:v>
                </c:pt>
                <c:pt idx="44">
                  <c:v>11.840000000000003</c:v>
                </c:pt>
                <c:pt idx="45">
                  <c:v>12.849999999999994</c:v>
                </c:pt>
                <c:pt idx="46">
                  <c:v>13.069999999999993</c:v>
                </c:pt>
                <c:pt idx="47">
                  <c:v>13.909999999999997</c:v>
                </c:pt>
                <c:pt idx="48">
                  <c:v>14.420000000000002</c:v>
                </c:pt>
                <c:pt idx="49">
                  <c:v>15.569999999999993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9-4FF9-9F84-7A1F21F60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431663"/>
        <c:axId val="16724302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podaci!$S$121:$S$170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13</c:v>
                      </c:pt>
                      <c:pt idx="1">
                        <c:v>5</c:v>
                      </c:pt>
                      <c:pt idx="2">
                        <c:v>41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49</c:v>
                      </c:pt>
                      <c:pt idx="6">
                        <c:v>42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40</c:v>
                      </c:pt>
                      <c:pt idx="10">
                        <c:v>6</c:v>
                      </c:pt>
                      <c:pt idx="11">
                        <c:v>31</c:v>
                      </c:pt>
                      <c:pt idx="12">
                        <c:v>36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47</c:v>
                      </c:pt>
                      <c:pt idx="16">
                        <c:v>4</c:v>
                      </c:pt>
                      <c:pt idx="17">
                        <c:v>37</c:v>
                      </c:pt>
                      <c:pt idx="18">
                        <c:v>10</c:v>
                      </c:pt>
                      <c:pt idx="19">
                        <c:v>16</c:v>
                      </c:pt>
                      <c:pt idx="20">
                        <c:v>30</c:v>
                      </c:pt>
                      <c:pt idx="21">
                        <c:v>25</c:v>
                      </c:pt>
                      <c:pt idx="22">
                        <c:v>20</c:v>
                      </c:pt>
                      <c:pt idx="23">
                        <c:v>46</c:v>
                      </c:pt>
                      <c:pt idx="24">
                        <c:v>33</c:v>
                      </c:pt>
                      <c:pt idx="25">
                        <c:v>23</c:v>
                      </c:pt>
                      <c:pt idx="26">
                        <c:v>11</c:v>
                      </c:pt>
                      <c:pt idx="27">
                        <c:v>38</c:v>
                      </c:pt>
                      <c:pt idx="28">
                        <c:v>17</c:v>
                      </c:pt>
                      <c:pt idx="29">
                        <c:v>43</c:v>
                      </c:pt>
                      <c:pt idx="30">
                        <c:v>19</c:v>
                      </c:pt>
                      <c:pt idx="31">
                        <c:v>29</c:v>
                      </c:pt>
                      <c:pt idx="32">
                        <c:v>32</c:v>
                      </c:pt>
                      <c:pt idx="33">
                        <c:v>48</c:v>
                      </c:pt>
                      <c:pt idx="34">
                        <c:v>50</c:v>
                      </c:pt>
                      <c:pt idx="35">
                        <c:v>7</c:v>
                      </c:pt>
                      <c:pt idx="36">
                        <c:v>45</c:v>
                      </c:pt>
                      <c:pt idx="37">
                        <c:v>14</c:v>
                      </c:pt>
                      <c:pt idx="38">
                        <c:v>18</c:v>
                      </c:pt>
                      <c:pt idx="39">
                        <c:v>15</c:v>
                      </c:pt>
                      <c:pt idx="40">
                        <c:v>27</c:v>
                      </c:pt>
                      <c:pt idx="41">
                        <c:v>24</c:v>
                      </c:pt>
                      <c:pt idx="42">
                        <c:v>3</c:v>
                      </c:pt>
                      <c:pt idx="43">
                        <c:v>35</c:v>
                      </c:pt>
                      <c:pt idx="44">
                        <c:v>26</c:v>
                      </c:pt>
                      <c:pt idx="45">
                        <c:v>28</c:v>
                      </c:pt>
                      <c:pt idx="46">
                        <c:v>44</c:v>
                      </c:pt>
                      <c:pt idx="47">
                        <c:v>21</c:v>
                      </c:pt>
                      <c:pt idx="48">
                        <c:v>22</c:v>
                      </c:pt>
                      <c:pt idx="49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469-4FF9-9F84-7A1F21F604A9}"/>
                  </c:ext>
                </c:extLst>
              </c15:ser>
            </c15:filteredBarSeries>
          </c:ext>
        </c:extLst>
      </c:barChart>
      <c:catAx>
        <c:axId val="167243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Iteracija (sortirano)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430223"/>
        <c:crosses val="autoZero"/>
        <c:auto val="1"/>
        <c:lblAlgn val="ctr"/>
        <c:lblOffset val="100"/>
        <c:noMultiLvlLbl val="0"/>
      </c:catAx>
      <c:valAx>
        <c:axId val="16724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Pad efikasnosti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43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V</a:t>
            </a:r>
            <a:r>
              <a:rPr lang="en-US"/>
              <a:t>rijeme </a:t>
            </a:r>
            <a:r>
              <a:rPr lang="hr-HR"/>
              <a:t>izvršavanja </a:t>
            </a:r>
            <a:r>
              <a:rPr lang="en-US"/>
              <a:t>vs </a:t>
            </a:r>
            <a:r>
              <a:rPr lang="hr-HR"/>
              <a:t>Ukupna e</a:t>
            </a:r>
            <a:r>
              <a:rPr lang="en-US"/>
              <a:t>fikasnost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vrijeme vs efikasnost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podaci!$G$2:$G$51</c:f>
              <c:numCache>
                <c:formatCode>General</c:formatCode>
                <c:ptCount val="50"/>
                <c:pt idx="0">
                  <c:v>91.74</c:v>
                </c:pt>
                <c:pt idx="1">
                  <c:v>187.93799999999999</c:v>
                </c:pt>
                <c:pt idx="2">
                  <c:v>188.76499999999999</c:v>
                </c:pt>
                <c:pt idx="3">
                  <c:v>85.793000000000006</c:v>
                </c:pt>
                <c:pt idx="4">
                  <c:v>92.513999999999996</c:v>
                </c:pt>
                <c:pt idx="5">
                  <c:v>91.662000000000006</c:v>
                </c:pt>
                <c:pt idx="6">
                  <c:v>86.366</c:v>
                </c:pt>
                <c:pt idx="7">
                  <c:v>86.375</c:v>
                </c:pt>
                <c:pt idx="8">
                  <c:v>86.805999999999997</c:v>
                </c:pt>
                <c:pt idx="9">
                  <c:v>86.498000000000005</c:v>
                </c:pt>
                <c:pt idx="10">
                  <c:v>86.540999999999997</c:v>
                </c:pt>
                <c:pt idx="11">
                  <c:v>86.278000000000006</c:v>
                </c:pt>
                <c:pt idx="12">
                  <c:v>86.061000000000007</c:v>
                </c:pt>
                <c:pt idx="13">
                  <c:v>183.91300000000001</c:v>
                </c:pt>
                <c:pt idx="14">
                  <c:v>92.308999999999997</c:v>
                </c:pt>
                <c:pt idx="15">
                  <c:v>88.683999999999997</c:v>
                </c:pt>
                <c:pt idx="16">
                  <c:v>93.069000000000003</c:v>
                </c:pt>
                <c:pt idx="17">
                  <c:v>91.677000000000007</c:v>
                </c:pt>
                <c:pt idx="18">
                  <c:v>94.971000000000004</c:v>
                </c:pt>
                <c:pt idx="19">
                  <c:v>86.867000000000004</c:v>
                </c:pt>
                <c:pt idx="20">
                  <c:v>91.49</c:v>
                </c:pt>
                <c:pt idx="21">
                  <c:v>87.438000000000002</c:v>
                </c:pt>
                <c:pt idx="22">
                  <c:v>88.328000000000003</c:v>
                </c:pt>
                <c:pt idx="23">
                  <c:v>196.476</c:v>
                </c:pt>
                <c:pt idx="24">
                  <c:v>105.03400000000001</c:v>
                </c:pt>
                <c:pt idx="25">
                  <c:v>211.01599999999999</c:v>
                </c:pt>
                <c:pt idx="26">
                  <c:v>94.962999999999994</c:v>
                </c:pt>
                <c:pt idx="27">
                  <c:v>86.284000000000006</c:v>
                </c:pt>
                <c:pt idx="28">
                  <c:v>91.412999999999997</c:v>
                </c:pt>
                <c:pt idx="29">
                  <c:v>94.445999999999998</c:v>
                </c:pt>
                <c:pt idx="30">
                  <c:v>87.679000000000002</c:v>
                </c:pt>
                <c:pt idx="31">
                  <c:v>89.400999999999996</c:v>
                </c:pt>
                <c:pt idx="32">
                  <c:v>86.36</c:v>
                </c:pt>
                <c:pt idx="33">
                  <c:v>91.188999999999993</c:v>
                </c:pt>
                <c:pt idx="34">
                  <c:v>89.483999999999995</c:v>
                </c:pt>
                <c:pt idx="35">
                  <c:v>84.179000000000002</c:v>
                </c:pt>
                <c:pt idx="36">
                  <c:v>88.929000000000002</c:v>
                </c:pt>
                <c:pt idx="37">
                  <c:v>88.661000000000001</c:v>
                </c:pt>
                <c:pt idx="38">
                  <c:v>92.346000000000004</c:v>
                </c:pt>
                <c:pt idx="39">
                  <c:v>90.81</c:v>
                </c:pt>
                <c:pt idx="40">
                  <c:v>191.054</c:v>
                </c:pt>
                <c:pt idx="41">
                  <c:v>89.94</c:v>
                </c:pt>
                <c:pt idx="42">
                  <c:v>87.769000000000005</c:v>
                </c:pt>
                <c:pt idx="43">
                  <c:v>196.96899999999999</c:v>
                </c:pt>
                <c:pt idx="44">
                  <c:v>91.313999999999993</c:v>
                </c:pt>
                <c:pt idx="45">
                  <c:v>90.072999999999993</c:v>
                </c:pt>
                <c:pt idx="46">
                  <c:v>96.757000000000005</c:v>
                </c:pt>
                <c:pt idx="47">
                  <c:v>193.30199999999999</c:v>
                </c:pt>
                <c:pt idx="48">
                  <c:v>194.86799999999999</c:v>
                </c:pt>
                <c:pt idx="49">
                  <c:v>93.221000000000004</c:v>
                </c:pt>
              </c:numCache>
            </c:numRef>
          </c:xVal>
          <c:yVal>
            <c:numRef>
              <c:f>podaci!$B$2:$B$51</c:f>
              <c:numCache>
                <c:formatCode>0.00</c:formatCode>
                <c:ptCount val="50"/>
                <c:pt idx="0">
                  <c:v>95.24</c:v>
                </c:pt>
                <c:pt idx="1">
                  <c:v>95.13</c:v>
                </c:pt>
                <c:pt idx="2">
                  <c:v>95.45</c:v>
                </c:pt>
                <c:pt idx="3">
                  <c:v>94.17</c:v>
                </c:pt>
                <c:pt idx="4">
                  <c:v>95.12</c:v>
                </c:pt>
                <c:pt idx="5">
                  <c:v>94.4</c:v>
                </c:pt>
                <c:pt idx="6">
                  <c:v>93.86</c:v>
                </c:pt>
                <c:pt idx="7">
                  <c:v>95.9</c:v>
                </c:pt>
                <c:pt idx="8">
                  <c:v>95.9</c:v>
                </c:pt>
                <c:pt idx="9">
                  <c:v>96.32</c:v>
                </c:pt>
                <c:pt idx="10">
                  <c:v>94.17</c:v>
                </c:pt>
                <c:pt idx="11">
                  <c:v>96.31</c:v>
                </c:pt>
                <c:pt idx="12">
                  <c:v>96.31</c:v>
                </c:pt>
                <c:pt idx="13">
                  <c:v>95.35</c:v>
                </c:pt>
                <c:pt idx="14">
                  <c:v>95.31</c:v>
                </c:pt>
                <c:pt idx="15">
                  <c:v>94.83</c:v>
                </c:pt>
                <c:pt idx="16">
                  <c:v>95.15</c:v>
                </c:pt>
                <c:pt idx="17">
                  <c:v>95.16</c:v>
                </c:pt>
                <c:pt idx="18">
                  <c:v>95.1</c:v>
                </c:pt>
                <c:pt idx="19">
                  <c:v>95.9</c:v>
                </c:pt>
                <c:pt idx="20">
                  <c:v>94.47</c:v>
                </c:pt>
                <c:pt idx="21">
                  <c:v>95.04</c:v>
                </c:pt>
                <c:pt idx="22">
                  <c:v>96.42</c:v>
                </c:pt>
                <c:pt idx="23">
                  <c:v>95.21</c:v>
                </c:pt>
                <c:pt idx="24">
                  <c:v>95.22</c:v>
                </c:pt>
                <c:pt idx="25">
                  <c:v>95.52</c:v>
                </c:pt>
                <c:pt idx="26">
                  <c:v>93.72</c:v>
                </c:pt>
                <c:pt idx="27">
                  <c:v>95.9</c:v>
                </c:pt>
                <c:pt idx="28">
                  <c:v>95.35</c:v>
                </c:pt>
                <c:pt idx="29">
                  <c:v>94.01</c:v>
                </c:pt>
                <c:pt idx="30">
                  <c:v>96.42</c:v>
                </c:pt>
                <c:pt idx="31">
                  <c:v>94.1</c:v>
                </c:pt>
                <c:pt idx="32">
                  <c:v>95.9</c:v>
                </c:pt>
                <c:pt idx="33">
                  <c:v>93.68</c:v>
                </c:pt>
                <c:pt idx="34">
                  <c:v>95.08</c:v>
                </c:pt>
                <c:pt idx="35">
                  <c:v>95.81</c:v>
                </c:pt>
                <c:pt idx="36">
                  <c:v>95.35</c:v>
                </c:pt>
                <c:pt idx="37">
                  <c:v>94.37</c:v>
                </c:pt>
                <c:pt idx="38">
                  <c:v>95.35</c:v>
                </c:pt>
                <c:pt idx="39">
                  <c:v>93.98</c:v>
                </c:pt>
                <c:pt idx="40">
                  <c:v>95.62</c:v>
                </c:pt>
                <c:pt idx="41">
                  <c:v>94.78</c:v>
                </c:pt>
                <c:pt idx="42">
                  <c:v>94.01</c:v>
                </c:pt>
                <c:pt idx="43">
                  <c:v>94.56</c:v>
                </c:pt>
                <c:pt idx="44">
                  <c:v>96.31</c:v>
                </c:pt>
                <c:pt idx="45">
                  <c:v>95.18</c:v>
                </c:pt>
                <c:pt idx="46">
                  <c:v>94.12</c:v>
                </c:pt>
                <c:pt idx="47">
                  <c:v>94.47</c:v>
                </c:pt>
                <c:pt idx="48">
                  <c:v>95.25</c:v>
                </c:pt>
                <c:pt idx="49">
                  <c:v>95.19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20-4A55-99B1-F6D940843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462271"/>
        <c:axId val="1084460831"/>
      </c:scatterChart>
      <c:valAx>
        <c:axId val="108446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Vrijeme izvršavanja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60831"/>
        <c:crosses val="autoZero"/>
        <c:crossBetween val="midCat"/>
      </c:valAx>
      <c:valAx>
        <c:axId val="1084460831"/>
        <c:scaling>
          <c:orientation val="minMax"/>
          <c:max val="96.5"/>
          <c:min val="9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Ukupna 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6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V</a:t>
            </a:r>
            <a:r>
              <a:rPr lang="en-US"/>
              <a:t>rijeme </a:t>
            </a:r>
            <a:r>
              <a:rPr lang="hr-HR"/>
              <a:t>izvršavanja </a:t>
            </a:r>
            <a:r>
              <a:rPr lang="en-US"/>
              <a:t>vs </a:t>
            </a:r>
            <a:r>
              <a:rPr lang="hr-HR"/>
              <a:t>Ukupna e</a:t>
            </a:r>
            <a:r>
              <a:rPr lang="en-US"/>
              <a:t>fikasnost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vrijeme vs efikasnost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podaci!$G$62:$G$111</c:f>
              <c:numCache>
                <c:formatCode>General</c:formatCode>
                <c:ptCount val="50"/>
                <c:pt idx="0">
                  <c:v>97.21</c:v>
                </c:pt>
                <c:pt idx="1">
                  <c:v>98.817999999999998</c:v>
                </c:pt>
                <c:pt idx="2">
                  <c:v>121.301</c:v>
                </c:pt>
                <c:pt idx="3">
                  <c:v>114.48</c:v>
                </c:pt>
                <c:pt idx="4">
                  <c:v>108.63200000000001</c:v>
                </c:pt>
                <c:pt idx="5">
                  <c:v>121.67400000000001</c:v>
                </c:pt>
                <c:pt idx="6">
                  <c:v>122.55800000000001</c:v>
                </c:pt>
                <c:pt idx="7">
                  <c:v>120.29900000000001</c:v>
                </c:pt>
                <c:pt idx="8">
                  <c:v>127.753</c:v>
                </c:pt>
                <c:pt idx="9">
                  <c:v>116.738</c:v>
                </c:pt>
                <c:pt idx="10">
                  <c:v>110.398</c:v>
                </c:pt>
                <c:pt idx="11">
                  <c:v>114.355</c:v>
                </c:pt>
                <c:pt idx="12">
                  <c:v>118.509</c:v>
                </c:pt>
                <c:pt idx="13">
                  <c:v>99.850999999999999</c:v>
                </c:pt>
                <c:pt idx="14">
                  <c:v>136.203</c:v>
                </c:pt>
                <c:pt idx="15">
                  <c:v>117.014</c:v>
                </c:pt>
                <c:pt idx="16">
                  <c:v>110.675</c:v>
                </c:pt>
                <c:pt idx="17">
                  <c:v>114.35299999999999</c:v>
                </c:pt>
                <c:pt idx="18">
                  <c:v>147.90299999999999</c:v>
                </c:pt>
                <c:pt idx="19">
                  <c:v>134.863</c:v>
                </c:pt>
                <c:pt idx="20">
                  <c:v>107.82599999999999</c:v>
                </c:pt>
                <c:pt idx="21">
                  <c:v>138.739</c:v>
                </c:pt>
                <c:pt idx="22">
                  <c:v>114.54300000000001</c:v>
                </c:pt>
                <c:pt idx="23">
                  <c:v>109.524</c:v>
                </c:pt>
                <c:pt idx="24">
                  <c:v>129.774</c:v>
                </c:pt>
                <c:pt idx="25">
                  <c:v>115.64700000000001</c:v>
                </c:pt>
                <c:pt idx="26">
                  <c:v>136.46899999999999</c:v>
                </c:pt>
                <c:pt idx="27">
                  <c:v>103.602</c:v>
                </c:pt>
                <c:pt idx="28">
                  <c:v>111.06100000000001</c:v>
                </c:pt>
                <c:pt idx="29">
                  <c:v>118.496</c:v>
                </c:pt>
                <c:pt idx="30">
                  <c:v>134.70500000000001</c:v>
                </c:pt>
                <c:pt idx="31">
                  <c:v>106.038</c:v>
                </c:pt>
                <c:pt idx="32">
                  <c:v>105.205</c:v>
                </c:pt>
                <c:pt idx="33">
                  <c:v>116.03</c:v>
                </c:pt>
                <c:pt idx="34">
                  <c:v>213.99799999999999</c:v>
                </c:pt>
                <c:pt idx="35">
                  <c:v>105.274</c:v>
                </c:pt>
                <c:pt idx="36">
                  <c:v>136.05199999999999</c:v>
                </c:pt>
                <c:pt idx="37">
                  <c:v>134.74100000000001</c:v>
                </c:pt>
                <c:pt idx="38">
                  <c:v>114.941</c:v>
                </c:pt>
                <c:pt idx="39">
                  <c:v>113.39400000000001</c:v>
                </c:pt>
                <c:pt idx="40">
                  <c:v>108.194</c:v>
                </c:pt>
                <c:pt idx="41">
                  <c:v>126.268</c:v>
                </c:pt>
                <c:pt idx="42">
                  <c:v>141.126</c:v>
                </c:pt>
                <c:pt idx="43">
                  <c:v>112.383</c:v>
                </c:pt>
                <c:pt idx="44">
                  <c:v>103.626</c:v>
                </c:pt>
                <c:pt idx="45">
                  <c:v>103.664</c:v>
                </c:pt>
                <c:pt idx="46">
                  <c:v>117.551</c:v>
                </c:pt>
                <c:pt idx="47">
                  <c:v>112.858</c:v>
                </c:pt>
                <c:pt idx="48">
                  <c:v>127.259</c:v>
                </c:pt>
                <c:pt idx="49">
                  <c:v>109.956</c:v>
                </c:pt>
              </c:numCache>
            </c:numRef>
          </c:xVal>
          <c:yVal>
            <c:numRef>
              <c:f>podaci!$B$62:$B$111</c:f>
              <c:numCache>
                <c:formatCode>0.00</c:formatCode>
                <c:ptCount val="50"/>
                <c:pt idx="0">
                  <c:v>92.59</c:v>
                </c:pt>
                <c:pt idx="1">
                  <c:v>94.51</c:v>
                </c:pt>
                <c:pt idx="2">
                  <c:v>93.75</c:v>
                </c:pt>
                <c:pt idx="3">
                  <c:v>93.81</c:v>
                </c:pt>
                <c:pt idx="4">
                  <c:v>93.31</c:v>
                </c:pt>
                <c:pt idx="5">
                  <c:v>92.76</c:v>
                </c:pt>
                <c:pt idx="6">
                  <c:v>93.31</c:v>
                </c:pt>
                <c:pt idx="7">
                  <c:v>93.85</c:v>
                </c:pt>
                <c:pt idx="8">
                  <c:v>94.31</c:v>
                </c:pt>
                <c:pt idx="9">
                  <c:v>93.61</c:v>
                </c:pt>
                <c:pt idx="10">
                  <c:v>93.35</c:v>
                </c:pt>
                <c:pt idx="11">
                  <c:v>93.49</c:v>
                </c:pt>
                <c:pt idx="12">
                  <c:v>93.37</c:v>
                </c:pt>
                <c:pt idx="13">
                  <c:v>93.31</c:v>
                </c:pt>
                <c:pt idx="14">
                  <c:v>94.35</c:v>
                </c:pt>
                <c:pt idx="15">
                  <c:v>94.7</c:v>
                </c:pt>
                <c:pt idx="16">
                  <c:v>95.01</c:v>
                </c:pt>
                <c:pt idx="17">
                  <c:v>94.03</c:v>
                </c:pt>
                <c:pt idx="18">
                  <c:v>94.5</c:v>
                </c:pt>
                <c:pt idx="19">
                  <c:v>94.65</c:v>
                </c:pt>
                <c:pt idx="20">
                  <c:v>93.58</c:v>
                </c:pt>
                <c:pt idx="21">
                  <c:v>93.66</c:v>
                </c:pt>
                <c:pt idx="22">
                  <c:v>94.11</c:v>
                </c:pt>
                <c:pt idx="23">
                  <c:v>94.84</c:v>
                </c:pt>
                <c:pt idx="24">
                  <c:v>93.48</c:v>
                </c:pt>
                <c:pt idx="25">
                  <c:v>94.83</c:v>
                </c:pt>
                <c:pt idx="26">
                  <c:v>94.47</c:v>
                </c:pt>
                <c:pt idx="27">
                  <c:v>92.59</c:v>
                </c:pt>
                <c:pt idx="28">
                  <c:v>93.31</c:v>
                </c:pt>
                <c:pt idx="29">
                  <c:v>94.33</c:v>
                </c:pt>
                <c:pt idx="30">
                  <c:v>93.97</c:v>
                </c:pt>
                <c:pt idx="31">
                  <c:v>94.17</c:v>
                </c:pt>
                <c:pt idx="32">
                  <c:v>94.05</c:v>
                </c:pt>
                <c:pt idx="33">
                  <c:v>93.74</c:v>
                </c:pt>
                <c:pt idx="34">
                  <c:v>93.86</c:v>
                </c:pt>
                <c:pt idx="35">
                  <c:v>93.59</c:v>
                </c:pt>
                <c:pt idx="36">
                  <c:v>93.92</c:v>
                </c:pt>
                <c:pt idx="37">
                  <c:v>94.52</c:v>
                </c:pt>
                <c:pt idx="38">
                  <c:v>95.11</c:v>
                </c:pt>
                <c:pt idx="39">
                  <c:v>94.11</c:v>
                </c:pt>
                <c:pt idx="40">
                  <c:v>94.03</c:v>
                </c:pt>
                <c:pt idx="41">
                  <c:v>93.88</c:v>
                </c:pt>
                <c:pt idx="42">
                  <c:v>93.5</c:v>
                </c:pt>
                <c:pt idx="43">
                  <c:v>93.78</c:v>
                </c:pt>
                <c:pt idx="44">
                  <c:v>94.11</c:v>
                </c:pt>
                <c:pt idx="45">
                  <c:v>94.52</c:v>
                </c:pt>
                <c:pt idx="46">
                  <c:v>95.51</c:v>
                </c:pt>
                <c:pt idx="47">
                  <c:v>95.64</c:v>
                </c:pt>
                <c:pt idx="48">
                  <c:v>92.3</c:v>
                </c:pt>
                <c:pt idx="49">
                  <c:v>94.78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79-45FD-8019-D824E7A6F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462271"/>
        <c:axId val="1084460831"/>
      </c:scatterChart>
      <c:valAx>
        <c:axId val="108446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Vrijeme izvršavanja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60831"/>
        <c:crosses val="autoZero"/>
        <c:crossBetween val="midCat"/>
      </c:valAx>
      <c:valAx>
        <c:axId val="1084460831"/>
        <c:scaling>
          <c:orientation val="minMax"/>
          <c:max val="96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Ukupna 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6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V</a:t>
            </a:r>
            <a:r>
              <a:rPr lang="en-US"/>
              <a:t>rijeme </a:t>
            </a:r>
            <a:r>
              <a:rPr lang="hr-HR"/>
              <a:t>izvršavanja </a:t>
            </a:r>
            <a:r>
              <a:rPr lang="en-US"/>
              <a:t>vs </a:t>
            </a:r>
            <a:r>
              <a:rPr lang="hr-HR"/>
              <a:t>Ukupna e</a:t>
            </a:r>
            <a:r>
              <a:rPr lang="en-US"/>
              <a:t>fikasnost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vrijeme vs efikasnost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podaci!$G$121:$G$170</c:f>
              <c:numCache>
                <c:formatCode>General</c:formatCode>
                <c:ptCount val="50"/>
                <c:pt idx="0">
                  <c:v>106.727</c:v>
                </c:pt>
                <c:pt idx="1">
                  <c:v>131.923</c:v>
                </c:pt>
                <c:pt idx="2">
                  <c:v>123.81100000000001</c:v>
                </c:pt>
                <c:pt idx="3">
                  <c:v>108.212</c:v>
                </c:pt>
                <c:pt idx="4">
                  <c:v>219.43199999999999</c:v>
                </c:pt>
                <c:pt idx="5">
                  <c:v>104.971</c:v>
                </c:pt>
                <c:pt idx="6">
                  <c:v>131.887</c:v>
                </c:pt>
                <c:pt idx="7">
                  <c:v>226.69499999999999</c:v>
                </c:pt>
                <c:pt idx="8">
                  <c:v>104.58</c:v>
                </c:pt>
                <c:pt idx="9">
                  <c:v>105.401</c:v>
                </c:pt>
                <c:pt idx="10">
                  <c:v>107.369</c:v>
                </c:pt>
                <c:pt idx="11">
                  <c:v>116.376</c:v>
                </c:pt>
                <c:pt idx="12">
                  <c:v>106.46599999999999</c:v>
                </c:pt>
                <c:pt idx="13">
                  <c:v>103.755</c:v>
                </c:pt>
                <c:pt idx="14">
                  <c:v>106.02500000000001</c:v>
                </c:pt>
                <c:pt idx="15">
                  <c:v>134.57499999999999</c:v>
                </c:pt>
                <c:pt idx="16">
                  <c:v>118.65300000000001</c:v>
                </c:pt>
                <c:pt idx="17">
                  <c:v>111.70699999999999</c:v>
                </c:pt>
                <c:pt idx="18">
                  <c:v>109.995</c:v>
                </c:pt>
                <c:pt idx="19">
                  <c:v>112.658</c:v>
                </c:pt>
                <c:pt idx="20">
                  <c:v>107.67400000000001</c:v>
                </c:pt>
                <c:pt idx="21">
                  <c:v>209.858</c:v>
                </c:pt>
                <c:pt idx="22">
                  <c:v>212.37700000000001</c:v>
                </c:pt>
                <c:pt idx="23">
                  <c:v>128.12299999999999</c:v>
                </c:pt>
                <c:pt idx="24">
                  <c:v>106.51300000000001</c:v>
                </c:pt>
                <c:pt idx="25">
                  <c:v>103.47199999999999</c:v>
                </c:pt>
                <c:pt idx="26">
                  <c:v>122.13200000000001</c:v>
                </c:pt>
                <c:pt idx="27">
                  <c:v>104.684</c:v>
                </c:pt>
                <c:pt idx="28">
                  <c:v>135.77699999999999</c:v>
                </c:pt>
                <c:pt idx="29">
                  <c:v>123.04900000000001</c:v>
                </c:pt>
                <c:pt idx="30">
                  <c:v>114.15300000000001</c:v>
                </c:pt>
                <c:pt idx="31">
                  <c:v>103.99</c:v>
                </c:pt>
                <c:pt idx="32">
                  <c:v>117.069</c:v>
                </c:pt>
                <c:pt idx="33">
                  <c:v>106.94199999999999</c:v>
                </c:pt>
                <c:pt idx="34">
                  <c:v>212.4</c:v>
                </c:pt>
                <c:pt idx="35">
                  <c:v>123.486</c:v>
                </c:pt>
                <c:pt idx="36">
                  <c:v>104.533</c:v>
                </c:pt>
                <c:pt idx="37">
                  <c:v>106.30800000000001</c:v>
                </c:pt>
                <c:pt idx="38">
                  <c:v>105.209</c:v>
                </c:pt>
                <c:pt idx="39">
                  <c:v>216.99600000000001</c:v>
                </c:pt>
                <c:pt idx="40">
                  <c:v>103.592</c:v>
                </c:pt>
                <c:pt idx="41">
                  <c:v>104.69</c:v>
                </c:pt>
                <c:pt idx="42">
                  <c:v>105.785</c:v>
                </c:pt>
                <c:pt idx="43">
                  <c:v>209.87899999999999</c:v>
                </c:pt>
                <c:pt idx="44">
                  <c:v>122.684</c:v>
                </c:pt>
                <c:pt idx="45">
                  <c:v>103.691</c:v>
                </c:pt>
                <c:pt idx="46">
                  <c:v>116.54</c:v>
                </c:pt>
                <c:pt idx="47">
                  <c:v>106.87</c:v>
                </c:pt>
                <c:pt idx="48">
                  <c:v>115.024</c:v>
                </c:pt>
                <c:pt idx="49">
                  <c:v>116.53</c:v>
                </c:pt>
              </c:numCache>
            </c:numRef>
          </c:xVal>
          <c:yVal>
            <c:numRef>
              <c:f>podaci!$B$121:$B$170</c:f>
              <c:numCache>
                <c:formatCode>0.00</c:formatCode>
                <c:ptCount val="50"/>
                <c:pt idx="0">
                  <c:v>95.39</c:v>
                </c:pt>
                <c:pt idx="1">
                  <c:v>95.36</c:v>
                </c:pt>
                <c:pt idx="2">
                  <c:v>93.02</c:v>
                </c:pt>
                <c:pt idx="3">
                  <c:v>93.39</c:v>
                </c:pt>
                <c:pt idx="4">
                  <c:v>95.06</c:v>
                </c:pt>
                <c:pt idx="5">
                  <c:v>95.42</c:v>
                </c:pt>
                <c:pt idx="6">
                  <c:v>95.17</c:v>
                </c:pt>
                <c:pt idx="7">
                  <c:v>95.16</c:v>
                </c:pt>
                <c:pt idx="8">
                  <c:v>94.78</c:v>
                </c:pt>
                <c:pt idx="9">
                  <c:v>93.52</c:v>
                </c:pt>
                <c:pt idx="10">
                  <c:v>94.5</c:v>
                </c:pt>
                <c:pt idx="11">
                  <c:v>94.13</c:v>
                </c:pt>
                <c:pt idx="12">
                  <c:v>94.93</c:v>
                </c:pt>
                <c:pt idx="13">
                  <c:v>93.2</c:v>
                </c:pt>
                <c:pt idx="14">
                  <c:v>93.2</c:v>
                </c:pt>
                <c:pt idx="15">
                  <c:v>94.68</c:v>
                </c:pt>
                <c:pt idx="16">
                  <c:v>94.88</c:v>
                </c:pt>
                <c:pt idx="17">
                  <c:v>93.2</c:v>
                </c:pt>
                <c:pt idx="18">
                  <c:v>94.04</c:v>
                </c:pt>
                <c:pt idx="19">
                  <c:v>94.91</c:v>
                </c:pt>
                <c:pt idx="20">
                  <c:v>93.7</c:v>
                </c:pt>
                <c:pt idx="21">
                  <c:v>93.19</c:v>
                </c:pt>
                <c:pt idx="22">
                  <c:v>94.32</c:v>
                </c:pt>
                <c:pt idx="23">
                  <c:v>93.46</c:v>
                </c:pt>
                <c:pt idx="24">
                  <c:v>92.15</c:v>
                </c:pt>
                <c:pt idx="25">
                  <c:v>94.5</c:v>
                </c:pt>
                <c:pt idx="26">
                  <c:v>94.06</c:v>
                </c:pt>
                <c:pt idx="27">
                  <c:v>93.56</c:v>
                </c:pt>
                <c:pt idx="28">
                  <c:v>93.66</c:v>
                </c:pt>
                <c:pt idx="29">
                  <c:v>95</c:v>
                </c:pt>
                <c:pt idx="30">
                  <c:v>95.42</c:v>
                </c:pt>
                <c:pt idx="31">
                  <c:v>93.66</c:v>
                </c:pt>
                <c:pt idx="32">
                  <c:v>94.61</c:v>
                </c:pt>
                <c:pt idx="33">
                  <c:v>93.1</c:v>
                </c:pt>
                <c:pt idx="34">
                  <c:v>94.05</c:v>
                </c:pt>
                <c:pt idx="35">
                  <c:v>95.22</c:v>
                </c:pt>
                <c:pt idx="36">
                  <c:v>93.43</c:v>
                </c:pt>
                <c:pt idx="37">
                  <c:v>93.83</c:v>
                </c:pt>
                <c:pt idx="38">
                  <c:v>94.11</c:v>
                </c:pt>
                <c:pt idx="39">
                  <c:v>94.35</c:v>
                </c:pt>
                <c:pt idx="40">
                  <c:v>94.97</c:v>
                </c:pt>
                <c:pt idx="41">
                  <c:v>94.5</c:v>
                </c:pt>
                <c:pt idx="42">
                  <c:v>94.91</c:v>
                </c:pt>
                <c:pt idx="43">
                  <c:v>93.48</c:v>
                </c:pt>
                <c:pt idx="44">
                  <c:v>93.8</c:v>
                </c:pt>
                <c:pt idx="45">
                  <c:v>93.43</c:v>
                </c:pt>
                <c:pt idx="46">
                  <c:v>93.7</c:v>
                </c:pt>
                <c:pt idx="47">
                  <c:v>94.96</c:v>
                </c:pt>
                <c:pt idx="48">
                  <c:v>93.96</c:v>
                </c:pt>
                <c:pt idx="49">
                  <c:v>93.94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CC-403D-8FAA-A23D743F5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462271"/>
        <c:axId val="1084460831"/>
      </c:scatterChart>
      <c:valAx>
        <c:axId val="108446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Vrijeme izvršavanja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60831"/>
        <c:crosses val="autoZero"/>
        <c:crossBetween val="midCat"/>
      </c:valAx>
      <c:valAx>
        <c:axId val="1084460831"/>
        <c:scaling>
          <c:orientation val="minMax"/>
          <c:max val="96.5"/>
          <c:min val="9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Ukupna 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6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Usporedba s referentn</a:t>
            </a:r>
            <a:r>
              <a:rPr lang="hr-HR" sz="1400" b="0" i="0" u="none" strike="noStrike" baseline="0"/>
              <a:t>om listom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GuillotineStrip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vs_referenca!$A$2:$A$7</c:f>
              <c:strCache>
                <c:ptCount val="6"/>
                <c:pt idx="0">
                  <c:v>Minimum</c:v>
                </c:pt>
                <c:pt idx="1">
                  <c:v>Q1 (25%)</c:v>
                </c:pt>
                <c:pt idx="2">
                  <c:v>Medijan</c:v>
                </c:pt>
                <c:pt idx="3">
                  <c:v>Prosjek</c:v>
                </c:pt>
                <c:pt idx="4">
                  <c:v>Q3 (75%)</c:v>
                </c:pt>
                <c:pt idx="5">
                  <c:v>Maksimum</c:v>
                </c:pt>
              </c:strCache>
            </c:strRef>
          </c:cat>
          <c:val>
            <c:numRef>
              <c:f>vs_referenca!$B$2:$B$7</c:f>
              <c:numCache>
                <c:formatCode>0.00</c:formatCode>
                <c:ptCount val="6"/>
                <c:pt idx="0">
                  <c:v>93.68</c:v>
                </c:pt>
                <c:pt idx="1">
                  <c:v>94.47</c:v>
                </c:pt>
                <c:pt idx="2">
                  <c:v>95.185000000000002</c:v>
                </c:pt>
                <c:pt idx="3">
                  <c:v>95.109400000000008</c:v>
                </c:pt>
                <c:pt idx="4">
                  <c:v>95.594999999999999</c:v>
                </c:pt>
                <c:pt idx="5">
                  <c:v>96.42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3-4F2D-8E38-00B05A8F2673}"/>
            </c:ext>
          </c:extLst>
        </c:ser>
        <c:ser>
          <c:idx val="1"/>
          <c:order val="1"/>
          <c:tx>
            <c:v>Referenca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vs_referenca!$A$2:$A$7</c:f>
              <c:strCache>
                <c:ptCount val="6"/>
                <c:pt idx="0">
                  <c:v>Minimum</c:v>
                </c:pt>
                <c:pt idx="1">
                  <c:v>Q1 (25%)</c:v>
                </c:pt>
                <c:pt idx="2">
                  <c:v>Medijan</c:v>
                </c:pt>
                <c:pt idx="3">
                  <c:v>Prosjek</c:v>
                </c:pt>
                <c:pt idx="4">
                  <c:v>Q3 (75%)</c:v>
                </c:pt>
                <c:pt idx="5">
                  <c:v>Maksimum</c:v>
                </c:pt>
              </c:strCache>
            </c:strRef>
          </c:cat>
          <c:val>
            <c:numRef>
              <c:f>vs_referenca!$C$2</c:f>
              <c:numCache>
                <c:formatCode>0.00</c:formatCode>
                <c:ptCount val="1"/>
                <c:pt idx="0">
                  <c:v>91.41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23-4F2D-8E38-00B05A8F26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0"/>
        <c:overlap val="-62"/>
        <c:axId val="1275505615"/>
        <c:axId val="1275504175"/>
      </c:barChart>
      <c:catAx>
        <c:axId val="127550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04175"/>
        <c:crosses val="autoZero"/>
        <c:auto val="1"/>
        <c:lblAlgn val="ctr"/>
        <c:lblOffset val="100"/>
        <c:noMultiLvlLbl val="0"/>
      </c:catAx>
      <c:valAx>
        <c:axId val="127550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0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Usporedba s referentn</a:t>
            </a:r>
            <a:r>
              <a:rPr lang="hr-HR" sz="1400" b="0" i="0" u="none" strike="noStrike" baseline="0"/>
              <a:t>om listom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GuillotineStrip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vs_referenca!$A$2:$A$7</c:f>
              <c:strCache>
                <c:ptCount val="6"/>
                <c:pt idx="0">
                  <c:v>Minimum</c:v>
                </c:pt>
                <c:pt idx="1">
                  <c:v>Q1 (25%)</c:v>
                </c:pt>
                <c:pt idx="2">
                  <c:v>Medijan</c:v>
                </c:pt>
                <c:pt idx="3">
                  <c:v>Prosjek</c:v>
                </c:pt>
                <c:pt idx="4">
                  <c:v>Q3 (75%)</c:v>
                </c:pt>
                <c:pt idx="5">
                  <c:v>Maksimum</c:v>
                </c:pt>
              </c:strCache>
            </c:strRef>
          </c:cat>
          <c:val>
            <c:numRef>
              <c:f>vs_referenca!$B$62:$B$67</c:f>
              <c:numCache>
                <c:formatCode>0.00</c:formatCode>
                <c:ptCount val="6"/>
                <c:pt idx="0">
                  <c:v>92.3</c:v>
                </c:pt>
                <c:pt idx="1">
                  <c:v>93.52</c:v>
                </c:pt>
                <c:pt idx="2">
                  <c:v>93.944999999999993</c:v>
                </c:pt>
                <c:pt idx="3">
                  <c:v>93.977200000000025</c:v>
                </c:pt>
                <c:pt idx="4">
                  <c:v>94.492500000000007</c:v>
                </c:pt>
                <c:pt idx="5">
                  <c:v>95.64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F-4642-9902-24431BD26B37}"/>
            </c:ext>
          </c:extLst>
        </c:ser>
        <c:ser>
          <c:idx val="1"/>
          <c:order val="1"/>
          <c:tx>
            <c:v>Referenca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vs_referenca!$A$2:$A$7</c:f>
              <c:strCache>
                <c:ptCount val="6"/>
                <c:pt idx="0">
                  <c:v>Minimum</c:v>
                </c:pt>
                <c:pt idx="1">
                  <c:v>Q1 (25%)</c:v>
                </c:pt>
                <c:pt idx="2">
                  <c:v>Medijan</c:v>
                </c:pt>
                <c:pt idx="3">
                  <c:v>Prosjek</c:v>
                </c:pt>
                <c:pt idx="4">
                  <c:v>Q3 (75%)</c:v>
                </c:pt>
                <c:pt idx="5">
                  <c:v>Maksimum</c:v>
                </c:pt>
              </c:strCache>
            </c:strRef>
          </c:cat>
          <c:val>
            <c:numRef>
              <c:f>vs_referenca!$C$62</c:f>
              <c:numCache>
                <c:formatCode>0.00</c:formatCode>
                <c:ptCount val="1"/>
                <c:pt idx="0">
                  <c:v>91.41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AF-4642-9902-24431BD26B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0"/>
        <c:overlap val="-62"/>
        <c:axId val="1275505615"/>
        <c:axId val="1275504175"/>
      </c:barChart>
      <c:catAx>
        <c:axId val="127550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04175"/>
        <c:crosses val="autoZero"/>
        <c:auto val="1"/>
        <c:lblAlgn val="ctr"/>
        <c:lblOffset val="100"/>
        <c:noMultiLvlLbl val="0"/>
      </c:catAx>
      <c:valAx>
        <c:axId val="127550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0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Usporedba s referentn</a:t>
            </a:r>
            <a:r>
              <a:rPr lang="hr-HR" sz="1400" b="0" i="0" u="none" strike="noStrike" baseline="0"/>
              <a:t>om listom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GuillotineStrip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vs_referenca!$A$2:$A$7</c:f>
              <c:strCache>
                <c:ptCount val="6"/>
                <c:pt idx="0">
                  <c:v>Minimum</c:v>
                </c:pt>
                <c:pt idx="1">
                  <c:v>Q1 (25%)</c:v>
                </c:pt>
                <c:pt idx="2">
                  <c:v>Medijan</c:v>
                </c:pt>
                <c:pt idx="3">
                  <c:v>Prosjek</c:v>
                </c:pt>
                <c:pt idx="4">
                  <c:v>Q3 (75%)</c:v>
                </c:pt>
                <c:pt idx="5">
                  <c:v>Maksimum</c:v>
                </c:pt>
              </c:strCache>
            </c:strRef>
          </c:cat>
          <c:val>
            <c:numRef>
              <c:f>vs_referenca!$B$121:$B$126</c:f>
              <c:numCache>
                <c:formatCode>0.00</c:formatCode>
                <c:ptCount val="6"/>
                <c:pt idx="0">
                  <c:v>92.15</c:v>
                </c:pt>
                <c:pt idx="1">
                  <c:v>93.53</c:v>
                </c:pt>
                <c:pt idx="2">
                  <c:v>94.085000000000008</c:v>
                </c:pt>
                <c:pt idx="3">
                  <c:v>94.179399999999987</c:v>
                </c:pt>
                <c:pt idx="4">
                  <c:v>94.91</c:v>
                </c:pt>
                <c:pt idx="5">
                  <c:v>95.42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8-4120-918B-FA3B6711935B}"/>
            </c:ext>
          </c:extLst>
        </c:ser>
        <c:ser>
          <c:idx val="1"/>
          <c:order val="1"/>
          <c:tx>
            <c:v>Referenca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vs_referenca!$A$2:$A$7</c:f>
              <c:strCache>
                <c:ptCount val="6"/>
                <c:pt idx="0">
                  <c:v>Minimum</c:v>
                </c:pt>
                <c:pt idx="1">
                  <c:v>Q1 (25%)</c:v>
                </c:pt>
                <c:pt idx="2">
                  <c:v>Medijan</c:v>
                </c:pt>
                <c:pt idx="3">
                  <c:v>Prosjek</c:v>
                </c:pt>
                <c:pt idx="4">
                  <c:v>Q3 (75%)</c:v>
                </c:pt>
                <c:pt idx="5">
                  <c:v>Maksimum</c:v>
                </c:pt>
              </c:strCache>
            </c:strRef>
          </c:cat>
          <c:val>
            <c:numRef>
              <c:f>vs_referenca!$C$121</c:f>
              <c:numCache>
                <c:formatCode>0.00</c:formatCode>
                <c:ptCount val="1"/>
                <c:pt idx="0">
                  <c:v>91.41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8-4120-918B-FA3B671193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0"/>
        <c:overlap val="-62"/>
        <c:axId val="1275505615"/>
        <c:axId val="1275504175"/>
      </c:barChart>
      <c:catAx>
        <c:axId val="127550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04175"/>
        <c:crosses val="autoZero"/>
        <c:auto val="1"/>
        <c:lblAlgn val="ctr"/>
        <c:lblOffset val="100"/>
        <c:noMultiLvlLbl val="0"/>
      </c:catAx>
      <c:valAx>
        <c:axId val="127550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0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Usporedba najbolje i najgore iteracije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Iteracija 23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najbolji_vs_najgori!$A$11:$A$18</c15:sqref>
                  </c15:fullRef>
                </c:ext>
              </c:extLst>
              <c:f>najbolji_vs_najgori!$A$11:$A$15</c:f>
              <c:strCache>
                <c:ptCount val="5"/>
                <c:pt idx="0">
                  <c:v>Ukupna efikasnost (%)</c:v>
                </c:pt>
                <c:pt idx="1">
                  <c:v>Ploča 1 (%)</c:v>
                </c:pt>
                <c:pt idx="2">
                  <c:v>Ploča 2 (%)</c:v>
                </c:pt>
                <c:pt idx="3">
                  <c:v>Ploča 3 (%)</c:v>
                </c:pt>
                <c:pt idx="4">
                  <c:v>Ploča 4 (%)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najbolji_vs_najgori!$B$11:$B$18</c15:sqref>
                  </c15:fullRef>
                </c:ext>
              </c:extLst>
              <c:f>najbolji_vs_najgori!$B$11:$B$15</c:f>
              <c:numCache>
                <c:formatCode>0.00</c:formatCode>
                <c:ptCount val="5"/>
                <c:pt idx="0">
                  <c:v>96.42</c:v>
                </c:pt>
                <c:pt idx="1">
                  <c:v>97.62</c:v>
                </c:pt>
                <c:pt idx="2">
                  <c:v>96.75</c:v>
                </c:pt>
                <c:pt idx="3">
                  <c:v>96.89</c:v>
                </c:pt>
                <c:pt idx="4">
                  <c:v>89.3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C-4F40-B84E-D6D0325B787E}"/>
            </c:ext>
          </c:extLst>
        </c:ser>
        <c:ser>
          <c:idx val="1"/>
          <c:order val="1"/>
          <c:tx>
            <c:v>Iteracija 34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najbolji_vs_najgori!$A$11:$A$18</c15:sqref>
                  </c15:fullRef>
                </c:ext>
              </c:extLst>
              <c:f>najbolji_vs_najgori!$A$11:$A$15</c:f>
              <c:strCache>
                <c:ptCount val="5"/>
                <c:pt idx="0">
                  <c:v>Ukupna efikasnost (%)</c:v>
                </c:pt>
                <c:pt idx="1">
                  <c:v>Ploča 1 (%)</c:v>
                </c:pt>
                <c:pt idx="2">
                  <c:v>Ploča 2 (%)</c:v>
                </c:pt>
                <c:pt idx="3">
                  <c:v>Ploča 3 (%)</c:v>
                </c:pt>
                <c:pt idx="4">
                  <c:v>Ploča 4 (%)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najbolji_vs_najgori!$C$11:$C$18</c15:sqref>
                  </c15:fullRef>
                </c:ext>
              </c:extLst>
              <c:f>najbolji_vs_najgori!$C$11:$C$15</c:f>
              <c:numCache>
                <c:formatCode>0.00</c:formatCode>
                <c:ptCount val="5"/>
                <c:pt idx="0">
                  <c:v>93.68</c:v>
                </c:pt>
                <c:pt idx="1">
                  <c:v>97.77</c:v>
                </c:pt>
                <c:pt idx="2">
                  <c:v>96.56</c:v>
                </c:pt>
                <c:pt idx="3">
                  <c:v>94.27</c:v>
                </c:pt>
                <c:pt idx="4">
                  <c:v>73.59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EC-4F40-B84E-D6D0325B78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423313599"/>
        <c:axId val="1423312639"/>
      </c:barChart>
      <c:catAx>
        <c:axId val="142331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12639"/>
        <c:crosses val="autoZero"/>
        <c:auto val="1"/>
        <c:lblAlgn val="ctr"/>
        <c:lblOffset val="100"/>
        <c:noMultiLvlLbl val="0"/>
      </c:catAx>
      <c:valAx>
        <c:axId val="1423312639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solidFill>
              <a:schemeClr val="accent1">
                <a:shade val="95000"/>
                <a:satMod val="10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13599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Usporedba najbolje i najgore iteracije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Iteracija 48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najbolji_vs_najgori!$A$11:$A$18</c15:sqref>
                  </c15:fullRef>
                </c:ext>
              </c:extLst>
              <c:f>najbolji_vs_najgori!$A$11:$A$15</c:f>
              <c:strCache>
                <c:ptCount val="5"/>
                <c:pt idx="0">
                  <c:v>Ukupna efikasnost (%)</c:v>
                </c:pt>
                <c:pt idx="1">
                  <c:v>Ploča 1 (%)</c:v>
                </c:pt>
                <c:pt idx="2">
                  <c:v>Ploča 2 (%)</c:v>
                </c:pt>
                <c:pt idx="3">
                  <c:v>Ploča 3 (%)</c:v>
                </c:pt>
                <c:pt idx="4">
                  <c:v>Ploča 4 (%)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najbolji_vs_najgori!$B$71:$B$78</c15:sqref>
                  </c15:fullRef>
                </c:ext>
              </c:extLst>
              <c:f>najbolji_vs_najgori!$B$71:$B$75</c:f>
              <c:numCache>
                <c:formatCode>0.00</c:formatCode>
                <c:ptCount val="5"/>
                <c:pt idx="0">
                  <c:v>95.64</c:v>
                </c:pt>
                <c:pt idx="1">
                  <c:v>96.85</c:v>
                </c:pt>
                <c:pt idx="2">
                  <c:v>96.72</c:v>
                </c:pt>
                <c:pt idx="3">
                  <c:v>94.26</c:v>
                </c:pt>
                <c:pt idx="4">
                  <c:v>92.66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A-49F9-B094-07D3C3F39E7E}"/>
            </c:ext>
          </c:extLst>
        </c:ser>
        <c:ser>
          <c:idx val="1"/>
          <c:order val="1"/>
          <c:tx>
            <c:v>Iteracija 49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najbolji_vs_najgori!$A$11:$A$18</c15:sqref>
                  </c15:fullRef>
                </c:ext>
              </c:extLst>
              <c:f>najbolji_vs_najgori!$A$11:$A$15</c:f>
              <c:strCache>
                <c:ptCount val="5"/>
                <c:pt idx="0">
                  <c:v>Ukupna efikasnost (%)</c:v>
                </c:pt>
                <c:pt idx="1">
                  <c:v>Ploča 1 (%)</c:v>
                </c:pt>
                <c:pt idx="2">
                  <c:v>Ploča 2 (%)</c:v>
                </c:pt>
                <c:pt idx="3">
                  <c:v>Ploča 3 (%)</c:v>
                </c:pt>
                <c:pt idx="4">
                  <c:v>Ploča 4 (%)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najbolji_vs_najgori!$C$71:$C$78</c15:sqref>
                  </c15:fullRef>
                </c:ext>
              </c:extLst>
              <c:f>najbolji_vs_najgori!$C$71:$C$75</c:f>
              <c:numCache>
                <c:formatCode>0.00</c:formatCode>
                <c:ptCount val="5"/>
                <c:pt idx="0">
                  <c:v>92.3</c:v>
                </c:pt>
                <c:pt idx="1">
                  <c:v>93.99</c:v>
                </c:pt>
                <c:pt idx="2">
                  <c:v>93.92</c:v>
                </c:pt>
                <c:pt idx="3">
                  <c:v>93.33</c:v>
                </c:pt>
                <c:pt idx="4">
                  <c:v>82.19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2A-49F9-B094-07D3C3F39E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423313599"/>
        <c:axId val="1423312639"/>
      </c:barChart>
      <c:catAx>
        <c:axId val="142331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12639"/>
        <c:crosses val="autoZero"/>
        <c:auto val="1"/>
        <c:lblAlgn val="ctr"/>
        <c:lblOffset val="100"/>
        <c:noMultiLvlLbl val="0"/>
      </c:catAx>
      <c:valAx>
        <c:axId val="1423312639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Efikasnost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solidFill>
              <a:schemeClr val="accent1">
                <a:shade val="95000"/>
                <a:satMod val="10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13599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Usporedba najbolje i najgore iteracije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Iteracija 6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najbolji_vs_najgori!$A$11:$A$18</c15:sqref>
                  </c15:fullRef>
                </c:ext>
              </c:extLst>
              <c:f>najbolji_vs_najgori!$A$11:$A$15</c:f>
              <c:strCache>
                <c:ptCount val="5"/>
                <c:pt idx="0">
                  <c:v>Ukupna efikasnost (%)</c:v>
                </c:pt>
                <c:pt idx="1">
                  <c:v>Ploča 1 (%)</c:v>
                </c:pt>
                <c:pt idx="2">
                  <c:v>Ploča 2 (%)</c:v>
                </c:pt>
                <c:pt idx="3">
                  <c:v>Ploča 3 (%)</c:v>
                </c:pt>
                <c:pt idx="4">
                  <c:v>Ploča 4 (%)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najbolji_vs_najgori!$B$130:$B$137</c15:sqref>
                  </c15:fullRef>
                </c:ext>
              </c:extLst>
              <c:f>najbolji_vs_najgori!$B$130:$B$134</c:f>
              <c:numCache>
                <c:formatCode>0.00</c:formatCode>
                <c:ptCount val="5"/>
                <c:pt idx="0">
                  <c:v>95.42</c:v>
                </c:pt>
                <c:pt idx="1">
                  <c:v>97.42</c:v>
                </c:pt>
                <c:pt idx="2">
                  <c:v>96.15</c:v>
                </c:pt>
                <c:pt idx="3">
                  <c:v>94.04</c:v>
                </c:pt>
                <c:pt idx="4">
                  <c:v>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5-4F3A-848E-1CDF42BAFFF5}"/>
            </c:ext>
          </c:extLst>
        </c:ser>
        <c:ser>
          <c:idx val="1"/>
          <c:order val="1"/>
          <c:tx>
            <c:v>Iteracija 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najbolji_vs_najgori!$A$11:$A$18</c15:sqref>
                  </c15:fullRef>
                </c:ext>
              </c:extLst>
              <c:f>najbolji_vs_najgori!$A$11:$A$15</c:f>
              <c:strCache>
                <c:ptCount val="5"/>
                <c:pt idx="0">
                  <c:v>Ukupna efikasnost (%)</c:v>
                </c:pt>
                <c:pt idx="1">
                  <c:v>Ploča 1 (%)</c:v>
                </c:pt>
                <c:pt idx="2">
                  <c:v>Ploča 2 (%)</c:v>
                </c:pt>
                <c:pt idx="3">
                  <c:v>Ploča 3 (%)</c:v>
                </c:pt>
                <c:pt idx="4">
                  <c:v>Ploča 4 (%)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najbolji_vs_najgori!$C$130:$C$137</c15:sqref>
                  </c15:fullRef>
                </c:ext>
              </c:extLst>
              <c:f>najbolji_vs_najgori!$C$130:$C$134</c:f>
              <c:numCache>
                <c:formatCode>0.00</c:formatCode>
                <c:ptCount val="5"/>
                <c:pt idx="0">
                  <c:v>92.15</c:v>
                </c:pt>
                <c:pt idx="1">
                  <c:v>97.07</c:v>
                </c:pt>
                <c:pt idx="2">
                  <c:v>94.63</c:v>
                </c:pt>
                <c:pt idx="3">
                  <c:v>88.59</c:v>
                </c:pt>
                <c:pt idx="4">
                  <c:v>83.3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5-4F3A-848E-1CDF42BAFF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423313599"/>
        <c:axId val="1423312639"/>
      </c:barChart>
      <c:catAx>
        <c:axId val="142331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12639"/>
        <c:crosses val="autoZero"/>
        <c:auto val="1"/>
        <c:lblAlgn val="ctr"/>
        <c:lblOffset val="100"/>
        <c:noMultiLvlLbl val="0"/>
      </c:catAx>
      <c:valAx>
        <c:axId val="1423312639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solidFill>
              <a:schemeClr val="accent1">
                <a:shade val="95000"/>
                <a:satMod val="10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13599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noFill/>
                </a:ln>
              </a:defRPr>
            </a:pPr>
            <a:r>
              <a:rPr lang="en-US">
                <a:ln>
                  <a:noFill/>
                </a:ln>
              </a:rPr>
              <a:t>Box plot ukupne efikasnosti</a:t>
            </a:r>
            <a:endParaRPr lang="en-US" sz="1400" b="0" i="0" u="none" strike="noStrike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boxWhisker" uniqueId="{FA974633-BD70-4722-9A2B-A610DCA9216D}">
          <cx:dataId val="0"/>
          <cx:layoutPr>
            <cx:visibility meanLine="0" meanMarker="1" nonoutliers="0" outliers="0"/>
            <cx:statistics quartileMethod="exclusive"/>
          </cx:layoutPr>
        </cx:series>
      </cx:plotAreaRegion>
      <cx:axis id="0" hidden="1">
        <cx:catScaling gapWidth="1.08000004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n>
                    <a:noFill/>
                  </a:ln>
                </a:defRPr>
              </a:pPr>
              <a:endParaRPr lang="en-US" sz="900" b="0" i="0" u="none" strike="noStrike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endParaRP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ln>
                <a:noFill/>
              </a:ln>
            </a:endParaRPr>
          </a:p>
        </cx:txPr>
      </cx:axis>
      <cx:axis id="1">
        <cx:valScaling max="96.5" min="92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n>
                      <a:noFill/>
                    </a:ln>
                  </a:defRPr>
                </a:pPr>
                <a:r>
                  <a:rPr lang="en-US">
                    <a:ln>
                      <a:noFill/>
                    </a:ln>
                  </a:rPr>
                  <a:t>Efikasnost (%)</a:t>
                </a:r>
                <a:endParaRPr lang="en-US" sz="900" b="0" i="0" u="none" strike="noStrike" baseline="0">
                  <a:ln>
                    <a:noFill/>
                  </a:ln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  <cx:numFmt formatCode="#,##0.0" sourceLinked="0"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ln>
                <a:noFill/>
              </a:ln>
            </a:endParaRPr>
          </a:p>
        </cx:txPr>
      </cx:axis>
    </cx:plotArea>
  </cx:chart>
  <cx:spPr>
    <a:ln w="9525">
      <a:solidFill>
        <a:schemeClr val="accent1">
          <a:shade val="95000"/>
          <a:satMod val="105000"/>
        </a:schemeClr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Distribucija ukupne efikasnosti (%)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plotSurface>
          <cx:spPr>
            <a:ln>
              <a:solidFill>
                <a:schemeClr val="accent1">
                  <a:shade val="95000"/>
                  <a:satMod val="105000"/>
                  <a:alpha val="38000"/>
                </a:schemeClr>
              </a:solidFill>
              <a:prstDash val="sysDot"/>
            </a:ln>
          </cx:spPr>
        </cx:plotSurface>
        <cx:series layoutId="clusteredColumn" uniqueId="{0758BC9D-8A42-47DD-BBC5-B89959E3127E}" formatIdx="0">
          <cx:dataId val="0"/>
          <cx:layoutPr>
            <cx:binning intervalClosed="r">
              <cx:binCount val="7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Ukupna efikasnost (%)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tickLabels/>
        <cx:numFmt formatCode="#,##0.00" sourceLinked="0"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Frekvencija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noFill/>
                </a:ln>
              </a:defRPr>
            </a:pPr>
            <a:r>
              <a:rPr lang="en-US">
                <a:ln>
                  <a:noFill/>
                </a:ln>
              </a:rPr>
              <a:t>Box plot ukupne efikasnosti</a:t>
            </a:r>
            <a:endParaRPr lang="en-US" sz="1400" b="0" i="0" u="none" strike="noStrike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boxWhisker" uniqueId="{FA974633-BD70-4722-9A2B-A610DCA9216D}">
          <cx:dataId val="0"/>
          <cx:layoutPr>
            <cx:visibility meanLine="0" meanMarker="1" nonoutliers="0" outliers="0"/>
            <cx:statistics quartileMethod="exclusive"/>
          </cx:layoutPr>
        </cx:series>
      </cx:plotAreaRegion>
      <cx:axis id="0" hidden="1">
        <cx:catScaling gapWidth="1.08000004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n>
                    <a:noFill/>
                  </a:ln>
                </a:defRPr>
              </a:pPr>
              <a:endParaRPr lang="en-US" sz="900" b="0" i="0" u="none" strike="noStrike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endParaRP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ln>
                <a:noFill/>
              </a:ln>
            </a:endParaRPr>
          </a:p>
        </cx:txPr>
      </cx:axis>
      <cx:axis id="1">
        <cx:valScaling max="96.5" min="92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n>
                      <a:noFill/>
                    </a:ln>
                  </a:defRPr>
                </a:pPr>
                <a:r>
                  <a:rPr lang="en-US">
                    <a:ln>
                      <a:noFill/>
                    </a:ln>
                  </a:rPr>
                  <a:t>Efikasnost (%)</a:t>
                </a:r>
                <a:endParaRPr lang="en-US" sz="900" b="0" i="0" u="none" strike="noStrike" baseline="0">
                  <a:ln>
                    <a:noFill/>
                  </a:ln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ln>
                <a:noFill/>
              </a:ln>
            </a:endParaRPr>
          </a:p>
        </cx:txPr>
      </cx:axis>
    </cx:plotArea>
  </cx:chart>
  <cx:spPr>
    <a:ln w="9525">
      <a:solidFill>
        <a:schemeClr val="accent1">
          <a:shade val="95000"/>
          <a:satMod val="105000"/>
        </a:schemeClr>
      </a:solidFill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Distribucija ukupne efikasnosti (%)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plotSurface>
          <cx:spPr>
            <a:ln>
              <a:solidFill>
                <a:schemeClr val="accent1">
                  <a:shade val="95000"/>
                  <a:satMod val="105000"/>
                  <a:alpha val="38000"/>
                </a:schemeClr>
              </a:solidFill>
              <a:prstDash val="sysDot"/>
            </a:ln>
          </cx:spPr>
        </cx:plotSurface>
        <cx:series layoutId="clusteredColumn" uniqueId="{0758BC9D-8A42-47DD-BBC5-B89959E3127E}" formatIdx="0">
          <cx:dataId val="0"/>
          <cx:layoutPr>
            <cx:binning intervalClosed="r">
              <cx:binCount val="7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Ukupna efikasnost (%)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tickLabels/>
        <cx:numFmt formatCode="#,##0.00" sourceLinked="0"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Frekvencija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noFill/>
                </a:ln>
              </a:defRPr>
            </a:pPr>
            <a:r>
              <a:rPr lang="en-US">
                <a:ln>
                  <a:noFill/>
                </a:ln>
              </a:rPr>
              <a:t>Box plot ukupne efikasnosti</a:t>
            </a:r>
            <a:endParaRPr lang="en-US" sz="1400" b="0" i="0" u="none" strike="noStrike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boxWhisker" uniqueId="{FA974633-BD70-4722-9A2B-A610DCA9216D}">
          <cx:dataId val="0"/>
          <cx:layoutPr>
            <cx:visibility meanLine="0" meanMarker="1" nonoutliers="0" outliers="0"/>
            <cx:statistics quartileMethod="exclusive"/>
          </cx:layoutPr>
        </cx:series>
      </cx:plotAreaRegion>
      <cx:axis id="0" hidden="1">
        <cx:catScaling gapWidth="1.08000004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n>
                    <a:noFill/>
                  </a:ln>
                </a:defRPr>
              </a:pPr>
              <a:endParaRPr lang="en-US" sz="900" b="0" i="0" u="none" strike="noStrike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endParaRP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ln>
                <a:noFill/>
              </a:ln>
            </a:endParaRPr>
          </a:p>
        </cx:txPr>
      </cx:axis>
      <cx:axis id="1">
        <cx:valScaling max="96.5" min="92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n>
                      <a:noFill/>
                    </a:ln>
                  </a:defRPr>
                </a:pPr>
                <a:r>
                  <a:rPr lang="en-US">
                    <a:ln>
                      <a:noFill/>
                    </a:ln>
                  </a:rPr>
                  <a:t>Efikasnost (%)</a:t>
                </a:r>
                <a:endParaRPr lang="en-US" sz="900" b="0" i="0" u="none" strike="noStrike" baseline="0">
                  <a:ln>
                    <a:noFill/>
                  </a:ln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ln>
                <a:noFill/>
              </a:ln>
            </a:endParaRPr>
          </a:p>
        </cx:txPr>
      </cx:axis>
    </cx:plotArea>
  </cx:chart>
  <cx:spPr>
    <a:ln w="9525">
      <a:solidFill>
        <a:schemeClr val="accent1">
          <a:shade val="95000"/>
          <a:satMod val="105000"/>
        </a:schemeClr>
      </a:solidFill>
    </a:ln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Distribucija ukupne efikasnosti (%)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plotSurface>
          <cx:spPr>
            <a:ln>
              <a:solidFill>
                <a:schemeClr val="accent1">
                  <a:shade val="95000"/>
                  <a:satMod val="105000"/>
                  <a:alpha val="38000"/>
                </a:schemeClr>
              </a:solidFill>
              <a:prstDash val="sysDot"/>
            </a:ln>
          </cx:spPr>
        </cx:plotSurface>
        <cx:series layoutId="clusteredColumn" uniqueId="{0758BC9D-8A42-47DD-BBC5-B89959E3127E}" formatIdx="0">
          <cx:dataId val="0"/>
          <cx:layoutPr>
            <cx:binning intervalClosed="r">
              <cx:binCount val="7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Ukupna efikasnost (%)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tickLabels/>
        <cx:numFmt formatCode="#,##0.00" sourceLinked="0"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Frekvencija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_xlchart.v1.7</cx:f>
      </cx:numDim>
    </cx:data>
    <cx:data id="2">
      <cx:numDim type="val">
        <cx:f>_xlchart.v1.8</cx:f>
      </cx:numDim>
    </cx:data>
    <cx:data id="3">
      <cx:numDim type="val">
        <cx:f>_xlchart.v1.9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hr-H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E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fikasnost po pločama</a:t>
            </a:r>
            <a:endPara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endParaRPr>
          </a:p>
        </cx:rich>
      </cx:tx>
    </cx:title>
    <cx:plotArea>
      <cx:plotAreaRegion>
        <cx:series layoutId="boxWhisker" uniqueId="{58D1AA9F-3653-44A3-8BA3-74AC27D55F08}">
          <cx:tx>
            <cx:txData>
              <cx:f/>
              <cx:v>Ploča 1</cx:v>
            </cx:txData>
          </cx:tx>
          <cx:dataId val="0"/>
          <cx:layoutPr>
            <cx:statistics quartileMethod="exclusive"/>
          </cx:layoutPr>
        </cx:series>
        <cx:series layoutId="boxWhisker" uniqueId="{2DEB1062-4D67-4AD9-AA90-AF2A429174E9}">
          <cx:tx>
            <cx:txData>
              <cx:f/>
              <cx:v>Ploča 2</cx:v>
            </cx:txData>
          </cx:tx>
          <cx:dataId val="1"/>
          <cx:layoutPr>
            <cx:statistics quartileMethod="exclusive"/>
          </cx:layoutPr>
        </cx:series>
        <cx:series layoutId="boxWhisker" uniqueId="{917B338D-D931-4F35-8715-177C7E36CACF}">
          <cx:tx>
            <cx:txData>
              <cx:f/>
              <cx:v>Ploča 3</cx:v>
            </cx:txData>
          </cx:tx>
          <cx:dataId val="2"/>
          <cx:layoutPr>
            <cx:statistics quartileMethod="exclusive"/>
          </cx:layoutPr>
        </cx:series>
        <cx:series layoutId="boxWhisker" uniqueId="{80C47794-7B02-4426-9BB3-18744C6E2C93}">
          <cx:tx>
            <cx:txData>
              <cx:f/>
              <cx:v>Ploča 4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.82000005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10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endParaRPr>
            </a:p>
          </cx:txPr>
        </cx:title>
        <cx:tickLabels/>
        <cx:spPr>
          <a:ln>
            <a:solidFill>
              <a:schemeClr val="accent1">
                <a:shade val="95000"/>
                <a:satMod val="105000"/>
              </a:schemeClr>
            </a:solidFill>
          </a:ln>
        </cx:spPr>
      </cx:axis>
      <cx:axis id="1">
        <cx:valScaling min="75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hr-HR"/>
                  <a:t>E</a:t>
                </a:r>
                <a:r>
                  <a:rPr lang="en-US"/>
                  <a:t>fikasnost (%)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  <cx:numFmt formatCode="General" sourceLinked="0"/>
      </cx:axis>
    </cx:plotArea>
    <cx:legend pos="t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  <cx:data id="1">
      <cx:numDim type="val">
        <cx:f>_xlchart.v1.11</cx:f>
      </cx:numDim>
    </cx:data>
    <cx:data id="2">
      <cx:numDim type="val">
        <cx:f>_xlchart.v1.12</cx:f>
      </cx:numDim>
    </cx:data>
    <cx:data id="3">
      <cx:numDim type="val">
        <cx:f>_xlchart.v1.13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hr-H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E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fikasnost po pločama</a:t>
            </a:r>
            <a:endPara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endParaRPr>
          </a:p>
        </cx:rich>
      </cx:tx>
    </cx:title>
    <cx:plotArea>
      <cx:plotAreaRegion>
        <cx:series layoutId="boxWhisker" uniqueId="{8BD8A869-9BBA-4C69-9BB3-9B8F2AEEA8D7}">
          <cx:tx>
            <cx:txData>
              <cx:f/>
              <cx:v>Ploča 1</cx:v>
            </cx:txData>
          </cx:tx>
          <cx:dataId val="0"/>
          <cx:layoutPr>
            <cx:statistics quartileMethod="exclusive"/>
          </cx:layoutPr>
        </cx:series>
        <cx:series layoutId="boxWhisker" uniqueId="{EDCF878E-9054-4AA7-8126-CCCB6B6F7935}">
          <cx:tx>
            <cx:txData>
              <cx:f/>
              <cx:v>Ploča 2</cx:v>
            </cx:txData>
          </cx:tx>
          <cx:dataId val="1"/>
          <cx:layoutPr>
            <cx:statistics quartileMethod="exclusive"/>
          </cx:layoutPr>
        </cx:series>
        <cx:series layoutId="boxWhisker" uniqueId="{F63EA3ED-25BC-45DD-B6CA-15DF4096D6BB}">
          <cx:tx>
            <cx:txData>
              <cx:f/>
              <cx:v>Ploča 3</cx:v>
            </cx:txData>
          </cx:tx>
          <cx:dataId val="2"/>
          <cx:layoutPr>
            <cx:statistics quartileMethod="exclusive"/>
          </cx:layoutPr>
        </cx:series>
        <cx:series layoutId="boxWhisker" uniqueId="{0C7B69BD-395F-4736-BC87-944868480165}">
          <cx:tx>
            <cx:txData>
              <cx:f/>
              <cx:v>Ploča 4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.82000005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10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endParaRPr>
            </a:p>
          </cx:txPr>
        </cx:title>
        <cx:tickLabels/>
        <cx:spPr>
          <a:ln>
            <a:solidFill>
              <a:schemeClr val="accent1">
                <a:shade val="95000"/>
                <a:satMod val="105000"/>
              </a:schemeClr>
            </a:solidFill>
          </a:ln>
        </cx:spPr>
      </cx:axis>
      <cx:axis id="1">
        <cx:valScaling min="75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hr-HR"/>
                  <a:t>E</a:t>
                </a:r>
                <a:r>
                  <a:rPr lang="en-US"/>
                  <a:t>fikasnost (%)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  <cx:numFmt formatCode="General" sourceLinked="0"/>
      </cx:axis>
    </cx:plotArea>
    <cx:legend pos="t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  <cx:data id="1">
      <cx:numDim type="val">
        <cx:f>_xlchart.v1.15</cx:f>
      </cx:numDim>
    </cx:data>
    <cx:data id="2">
      <cx:numDim type="val">
        <cx:f>_xlchart.v1.16</cx:f>
      </cx:numDim>
    </cx:data>
    <cx:data id="3">
      <cx:numDim type="val">
        <cx:f>_xlchart.v1.17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hr-H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E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fikasnost po pločama</a:t>
            </a:r>
            <a:endPara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endParaRPr>
          </a:p>
        </cx:rich>
      </cx:tx>
    </cx:title>
    <cx:plotArea>
      <cx:plotAreaRegion>
        <cx:series layoutId="boxWhisker" uniqueId="{28E94F19-82A1-49FF-A085-EF90C65EC4E9}">
          <cx:tx>
            <cx:txData>
              <cx:f/>
              <cx:v>Ploča 1</cx:v>
            </cx:txData>
          </cx:tx>
          <cx:dataId val="0"/>
          <cx:layoutPr>
            <cx:statistics quartileMethod="exclusive"/>
          </cx:layoutPr>
        </cx:series>
        <cx:series layoutId="boxWhisker" uniqueId="{3E730048-CDE0-4245-9E38-16208A878AEE}">
          <cx:tx>
            <cx:txData>
              <cx:f/>
              <cx:v>Ploča 2</cx:v>
            </cx:txData>
          </cx:tx>
          <cx:dataId val="1"/>
          <cx:layoutPr>
            <cx:statistics quartileMethod="exclusive"/>
          </cx:layoutPr>
        </cx:series>
        <cx:series layoutId="boxWhisker" uniqueId="{987F6173-026B-4DA7-96C7-2F4541229E53}">
          <cx:tx>
            <cx:txData>
              <cx:f/>
              <cx:v>Ploča 3</cx:v>
            </cx:txData>
          </cx:tx>
          <cx:dataId val="2"/>
          <cx:layoutPr>
            <cx:statistics quartileMethod="exclusive"/>
          </cx:layoutPr>
        </cx:series>
        <cx:series layoutId="boxWhisker" uniqueId="{FC92A5DF-5F9D-4E6F-B3A7-AB337096F15E}">
          <cx:tx>
            <cx:txData>
              <cx:f/>
              <cx:v>Ploča 4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.82000005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10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endParaRPr>
            </a:p>
          </cx:txPr>
        </cx:title>
        <cx:tickLabels/>
        <cx:spPr>
          <a:ln>
            <a:solidFill>
              <a:schemeClr val="accent1">
                <a:shade val="95000"/>
                <a:satMod val="105000"/>
              </a:schemeClr>
            </a:solidFill>
          </a:ln>
        </cx:spPr>
      </cx:axis>
      <cx:axis id="1">
        <cx:valScaling min="75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hr-HR"/>
                  <a:t>E</a:t>
                </a:r>
                <a:r>
                  <a:rPr lang="en-US"/>
                  <a:t>fikasnost (%)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  <cx:numFmt formatCode="General" sourceLinked="0"/>
      </cx:axis>
    </cx:plotArea>
    <cx:legend pos="t" align="ctr" overlay="0"/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noFill/>
                </a:ln>
              </a:defRPr>
            </a:pPr>
            <a:r>
              <a:rPr lang="en-US">
                <a:ln>
                  <a:noFill/>
                </a:ln>
              </a:rPr>
              <a:t>Box plot ukupne efikasnosti</a:t>
            </a:r>
            <a:endParaRPr lang="en-US" sz="1400" b="0" i="0" u="none" strike="noStrike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boxWhisker" uniqueId="{FA974633-BD70-4722-9A2B-A610DCA9216D}">
          <cx:dataId val="0"/>
          <cx:layoutPr>
            <cx:visibility meanLine="0" meanMarker="1" nonoutliers="0" outliers="0"/>
            <cx:statistics quartileMethod="exclusive"/>
          </cx:layoutPr>
        </cx:series>
      </cx:plotAreaRegion>
      <cx:axis id="0" hidden="1">
        <cx:catScaling gapWidth="1.08000004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n>
                    <a:noFill/>
                  </a:ln>
                </a:defRPr>
              </a:pPr>
              <a:endParaRPr lang="en-US" sz="900" b="0" i="0" u="none" strike="noStrike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endParaRP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ln>
                <a:noFill/>
              </a:ln>
            </a:endParaRPr>
          </a:p>
        </cx:txPr>
      </cx:axis>
      <cx:axis id="1">
        <cx:valScaling max="96.5" min="92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n>
                      <a:noFill/>
                    </a:ln>
                  </a:defRPr>
                </a:pPr>
                <a:r>
                  <a:rPr lang="en-US">
                    <a:ln>
                      <a:noFill/>
                    </a:ln>
                  </a:rPr>
                  <a:t>Efikasnost (%)</a:t>
                </a:r>
                <a:endParaRPr lang="en-US" sz="900" b="0" i="0" u="none" strike="noStrike" baseline="0">
                  <a:ln>
                    <a:noFill/>
                  </a:ln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  <cx:numFmt formatCode="#,##0.0" sourceLinked="0"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ln>
                <a:noFill/>
              </a:ln>
            </a:endParaRPr>
          </a:p>
        </cx:txPr>
      </cx:axis>
    </cx:plotArea>
  </cx:chart>
  <cx:spPr>
    <a:ln w="9525">
      <a:solidFill>
        <a:schemeClr val="accent1">
          <a:shade val="95000"/>
          <a:satMod val="105000"/>
        </a:schemeClr>
      </a:solidFill>
    </a:ln>
  </cx:spPr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Distribucija ukupne efikasnosti (%)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plotSurface>
          <cx:spPr>
            <a:ln>
              <a:solidFill>
                <a:schemeClr val="accent1">
                  <a:shade val="95000"/>
                  <a:satMod val="105000"/>
                  <a:alpha val="38000"/>
                </a:schemeClr>
              </a:solidFill>
              <a:prstDash val="sysDot"/>
            </a:ln>
          </cx:spPr>
        </cx:plotSurface>
        <cx:series layoutId="clusteredColumn" uniqueId="{0758BC9D-8A42-47DD-BBC5-B89959E3127E}" formatIdx="0">
          <cx:dataId val="0"/>
          <cx:layoutPr>
            <cx:binning intervalClosed="r">
              <cx:binCount val="7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Ukupna efikasnost (%)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tickLabels/>
        <cx:numFmt formatCode="#,##0.00" sourceLinked="0"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Frekvencija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noFill/>
                </a:ln>
              </a:defRPr>
            </a:pPr>
            <a:r>
              <a:rPr lang="en-US">
                <a:ln>
                  <a:noFill/>
                </a:ln>
              </a:rPr>
              <a:t>Box plot ukupne efikasnosti</a:t>
            </a:r>
            <a:endParaRPr lang="en-US" sz="1400" b="0" i="0" u="none" strike="noStrike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boxWhisker" uniqueId="{FA974633-BD70-4722-9A2B-A610DCA9216D}">
          <cx:dataId val="0"/>
          <cx:layoutPr>
            <cx:visibility meanLine="0" meanMarker="1" nonoutliers="0" outliers="0"/>
            <cx:statistics quartileMethod="exclusive"/>
          </cx:layoutPr>
        </cx:series>
      </cx:plotAreaRegion>
      <cx:axis id="0" hidden="1">
        <cx:catScaling gapWidth="1.08000004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n>
                    <a:noFill/>
                  </a:ln>
                </a:defRPr>
              </a:pPr>
              <a:endParaRPr lang="en-US" sz="900" b="0" i="0" u="none" strike="noStrike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endParaRP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ln>
                <a:noFill/>
              </a:ln>
            </a:endParaRPr>
          </a:p>
        </cx:txPr>
      </cx:axis>
      <cx:axis id="1">
        <cx:valScaling max="96.5" min="92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n>
                      <a:noFill/>
                    </a:ln>
                  </a:defRPr>
                </a:pPr>
                <a:r>
                  <a:rPr lang="en-US">
                    <a:ln>
                      <a:noFill/>
                    </a:ln>
                  </a:rPr>
                  <a:t>Efikasnost (%)</a:t>
                </a:r>
                <a:endParaRPr lang="en-US" sz="900" b="0" i="0" u="none" strike="noStrike" baseline="0">
                  <a:ln>
                    <a:noFill/>
                  </a:ln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ln>
                <a:noFill/>
              </a:ln>
            </a:endParaRPr>
          </a:p>
        </cx:txPr>
      </cx:axis>
    </cx:plotArea>
  </cx:chart>
  <cx:spPr>
    <a:ln w="9525">
      <a:solidFill>
        <a:schemeClr val="accent1">
          <a:shade val="95000"/>
          <a:satMod val="105000"/>
        </a:schemeClr>
      </a:solidFill>
    </a:ln>
  </cx:spPr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Distribucija ukupne efikasnosti (%)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plotSurface>
          <cx:spPr>
            <a:ln>
              <a:solidFill>
                <a:schemeClr val="accent1">
                  <a:shade val="95000"/>
                  <a:satMod val="105000"/>
                  <a:alpha val="38000"/>
                </a:schemeClr>
              </a:solidFill>
              <a:prstDash val="sysDot"/>
            </a:ln>
          </cx:spPr>
        </cx:plotSurface>
        <cx:series layoutId="clusteredColumn" uniqueId="{0758BC9D-8A42-47DD-BBC5-B89959E3127E}" formatIdx="0">
          <cx:dataId val="0"/>
          <cx:layoutPr>
            <cx:binning intervalClosed="r">
              <cx:binCount val="7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Ukupna efikasnost (%)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tickLabels/>
        <cx:numFmt formatCode="#,##0.00" sourceLinked="0"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Frekvencija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noFill/>
                </a:ln>
              </a:defRPr>
            </a:pPr>
            <a:r>
              <a:rPr lang="en-US">
                <a:ln>
                  <a:noFill/>
                </a:ln>
              </a:rPr>
              <a:t>Box plot ukupne efikasnosti</a:t>
            </a:r>
            <a:endParaRPr lang="en-US" sz="1400" b="0" i="0" u="none" strike="noStrike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boxWhisker" uniqueId="{FA974633-BD70-4722-9A2B-A610DCA9216D}">
          <cx:dataId val="0"/>
          <cx:layoutPr>
            <cx:visibility meanLine="0" meanMarker="1" nonoutliers="0" outliers="0"/>
            <cx:statistics quartileMethod="exclusive"/>
          </cx:layoutPr>
        </cx:series>
      </cx:plotAreaRegion>
      <cx:axis id="0" hidden="1">
        <cx:catScaling gapWidth="1.08000004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n>
                    <a:noFill/>
                  </a:ln>
                </a:defRPr>
              </a:pPr>
              <a:endParaRPr lang="en-US" sz="900" b="0" i="0" u="none" strike="noStrike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endParaRP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ln>
                <a:noFill/>
              </a:ln>
            </a:endParaRPr>
          </a:p>
        </cx:txPr>
      </cx:axis>
      <cx:axis id="1">
        <cx:valScaling max="96.5" min="92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n>
                      <a:noFill/>
                    </a:ln>
                  </a:defRPr>
                </a:pPr>
                <a:r>
                  <a:rPr lang="en-US">
                    <a:ln>
                      <a:noFill/>
                    </a:ln>
                  </a:rPr>
                  <a:t>Efikasnost (%)</a:t>
                </a:r>
                <a:endParaRPr lang="en-US" sz="900" b="0" i="0" u="none" strike="noStrike" baseline="0">
                  <a:ln>
                    <a:noFill/>
                  </a:ln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ln>
                <a:noFill/>
              </a:ln>
            </a:endParaRPr>
          </a:p>
        </cx:txPr>
      </cx:axis>
    </cx:plotArea>
  </cx:chart>
  <cx:spPr>
    <a:ln w="9525">
      <a:solidFill>
        <a:schemeClr val="accent1">
          <a:shade val="95000"/>
          <a:satMod val="105000"/>
        </a:schemeClr>
      </a:solidFill>
    </a:ln>
  </cx:spPr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Distribucija ukupne efikasnosti (%)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plotSurface>
          <cx:spPr>
            <a:ln>
              <a:solidFill>
                <a:schemeClr val="accent1">
                  <a:shade val="95000"/>
                  <a:satMod val="105000"/>
                  <a:alpha val="38000"/>
                </a:schemeClr>
              </a:solidFill>
              <a:prstDash val="sysDot"/>
            </a:ln>
          </cx:spPr>
        </cx:plotSurface>
        <cx:series layoutId="clusteredColumn" uniqueId="{0758BC9D-8A42-47DD-BBC5-B89959E3127E}" formatIdx="0">
          <cx:dataId val="0"/>
          <cx:layoutPr>
            <cx:binning intervalClosed="r">
              <cx:binCount val="7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Ukupna efikasnost (%)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tickLabels/>
        <cx:numFmt formatCode="#,##0.00" sourceLinked="0"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Frekvencija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_xlchart.v1.26</cx:f>
      </cx:numDim>
    </cx:data>
    <cx:data id="1">
      <cx:numDim type="val">
        <cx:f>_xlchart.v1.27</cx:f>
      </cx:numDim>
    </cx:data>
    <cx:data id="2">
      <cx:numDim type="val">
        <cx:f>_xlchart.v1.28</cx:f>
      </cx:numDim>
    </cx:data>
    <cx:data id="3">
      <cx:numDim type="val">
        <cx:f>_xlchart.v1.29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hr-H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E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fikasnost po pločama</a:t>
            </a:r>
            <a:endPara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endParaRPr>
          </a:p>
        </cx:rich>
      </cx:tx>
    </cx:title>
    <cx:plotArea>
      <cx:plotAreaRegion>
        <cx:series layoutId="boxWhisker" uniqueId="{58D1AA9F-3653-44A3-8BA3-74AC27D55F08}">
          <cx:tx>
            <cx:txData>
              <cx:f/>
              <cx:v>Ploča 1</cx:v>
            </cx:txData>
          </cx:tx>
          <cx:dataId val="0"/>
          <cx:layoutPr>
            <cx:statistics quartileMethod="exclusive"/>
          </cx:layoutPr>
        </cx:series>
        <cx:series layoutId="boxWhisker" uniqueId="{2DEB1062-4D67-4AD9-AA90-AF2A429174E9}">
          <cx:tx>
            <cx:txData>
              <cx:f/>
              <cx:v>Ploča 2</cx:v>
            </cx:txData>
          </cx:tx>
          <cx:dataId val="1"/>
          <cx:layoutPr>
            <cx:statistics quartileMethod="exclusive"/>
          </cx:layoutPr>
        </cx:series>
        <cx:series layoutId="boxWhisker" uniqueId="{917B338D-D931-4F35-8715-177C7E36CACF}">
          <cx:tx>
            <cx:txData>
              <cx:f/>
              <cx:v>Ploča 3</cx:v>
            </cx:txData>
          </cx:tx>
          <cx:dataId val="2"/>
          <cx:layoutPr>
            <cx:statistics quartileMethod="exclusive"/>
          </cx:layoutPr>
        </cx:series>
        <cx:series layoutId="boxWhisker" uniqueId="{80C47794-7B02-4426-9BB3-18744C6E2C93}">
          <cx:tx>
            <cx:txData>
              <cx:f/>
              <cx:v>Ploča 4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.82000005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10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endParaRPr>
            </a:p>
          </cx:txPr>
        </cx:title>
        <cx:tickLabels/>
        <cx:spPr>
          <a:ln>
            <a:solidFill>
              <a:schemeClr val="accent1">
                <a:shade val="95000"/>
                <a:satMod val="105000"/>
              </a:schemeClr>
            </a:solidFill>
          </a:ln>
        </cx:spPr>
      </cx:axis>
      <cx:axis id="1">
        <cx:valScaling min="75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hr-HR"/>
                  <a:t>E</a:t>
                </a:r>
                <a:r>
                  <a:rPr lang="en-US"/>
                  <a:t>fikasnost (%)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  <cx:numFmt formatCode="General" sourceLinked="0"/>
      </cx:axis>
    </cx:plotArea>
    <cx:legend pos="t" align="ctr" overlay="0"/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  <cx:data id="1">
      <cx:numDim type="val">
        <cx:f>_xlchart.v1.21</cx:f>
      </cx:numDim>
    </cx:data>
    <cx:data id="2">
      <cx:numDim type="val">
        <cx:f>_xlchart.v1.22</cx:f>
      </cx:numDim>
    </cx:data>
    <cx:data id="3">
      <cx:numDim type="val">
        <cx:f>_xlchart.v1.23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hr-H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E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fikasnost po pločama</a:t>
            </a:r>
            <a:endPara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endParaRPr>
          </a:p>
        </cx:rich>
      </cx:tx>
    </cx:title>
    <cx:plotArea>
      <cx:plotAreaRegion>
        <cx:series layoutId="boxWhisker" uniqueId="{8BD8A869-9BBA-4C69-9BB3-9B8F2AEEA8D7}">
          <cx:tx>
            <cx:txData>
              <cx:f/>
              <cx:v>Ploča 1</cx:v>
            </cx:txData>
          </cx:tx>
          <cx:dataId val="0"/>
          <cx:layoutPr>
            <cx:statistics quartileMethod="exclusive"/>
          </cx:layoutPr>
        </cx:series>
        <cx:series layoutId="boxWhisker" uniqueId="{EDCF878E-9054-4AA7-8126-CCCB6B6F7935}">
          <cx:tx>
            <cx:txData>
              <cx:f/>
              <cx:v>Ploča 2</cx:v>
            </cx:txData>
          </cx:tx>
          <cx:dataId val="1"/>
          <cx:layoutPr>
            <cx:statistics quartileMethod="exclusive"/>
          </cx:layoutPr>
        </cx:series>
        <cx:series layoutId="boxWhisker" uniqueId="{F63EA3ED-25BC-45DD-B6CA-15DF4096D6BB}">
          <cx:tx>
            <cx:txData>
              <cx:f/>
              <cx:v>Ploča 3</cx:v>
            </cx:txData>
          </cx:tx>
          <cx:dataId val="2"/>
          <cx:layoutPr>
            <cx:statistics quartileMethod="exclusive"/>
          </cx:layoutPr>
        </cx:series>
        <cx:series layoutId="boxWhisker" uniqueId="{0C7B69BD-395F-4736-BC87-944868480165}">
          <cx:tx>
            <cx:txData>
              <cx:f/>
              <cx:v>Ploča 4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.82000005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10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endParaRPr>
            </a:p>
          </cx:txPr>
        </cx:title>
        <cx:tickLabels/>
        <cx:spPr>
          <a:ln>
            <a:solidFill>
              <a:schemeClr val="accent1">
                <a:shade val="95000"/>
                <a:satMod val="105000"/>
              </a:schemeClr>
            </a:solidFill>
          </a:ln>
        </cx:spPr>
      </cx:axis>
      <cx:axis id="1">
        <cx:valScaling min="75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hr-HR"/>
                  <a:t>E</a:t>
                </a:r>
                <a:r>
                  <a:rPr lang="en-US"/>
                  <a:t>fikasnost (%)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  <cx:numFmt formatCode="General" sourceLinked="0"/>
      </cx:axis>
    </cx:plotArea>
    <cx:legend pos="t" align="ctr" overlay="0"/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  <cx:data id="1">
      <cx:numDim type="val">
        <cx:f>_xlchart.v1.31</cx:f>
      </cx:numDim>
    </cx:data>
    <cx:data id="2">
      <cx:numDim type="val">
        <cx:f>_xlchart.v1.32</cx:f>
      </cx:numDim>
    </cx:data>
    <cx:data id="3">
      <cx:numDim type="val">
        <cx:f>_xlchart.v1.33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hr-H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E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fikasnost po pločama</a:t>
            </a:r>
            <a:endPara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endParaRPr>
          </a:p>
        </cx:rich>
      </cx:tx>
    </cx:title>
    <cx:plotArea>
      <cx:plotAreaRegion>
        <cx:series layoutId="boxWhisker" uniqueId="{28E94F19-82A1-49FF-A085-EF90C65EC4E9}">
          <cx:tx>
            <cx:txData>
              <cx:f/>
              <cx:v>Ploča 1</cx:v>
            </cx:txData>
          </cx:tx>
          <cx:dataId val="0"/>
          <cx:layoutPr>
            <cx:statistics quartileMethod="exclusive"/>
          </cx:layoutPr>
        </cx:series>
        <cx:series layoutId="boxWhisker" uniqueId="{3E730048-CDE0-4245-9E38-16208A878AEE}">
          <cx:tx>
            <cx:txData>
              <cx:f/>
              <cx:v>Ploča 2</cx:v>
            </cx:txData>
          </cx:tx>
          <cx:dataId val="1"/>
          <cx:layoutPr>
            <cx:statistics quartileMethod="exclusive"/>
          </cx:layoutPr>
        </cx:series>
        <cx:series layoutId="boxWhisker" uniqueId="{987F6173-026B-4DA7-96C7-2F4541229E53}">
          <cx:tx>
            <cx:txData>
              <cx:f/>
              <cx:v>Ploča 3</cx:v>
            </cx:txData>
          </cx:tx>
          <cx:dataId val="2"/>
          <cx:layoutPr>
            <cx:statistics quartileMethod="exclusive"/>
          </cx:layoutPr>
        </cx:series>
        <cx:series layoutId="boxWhisker" uniqueId="{FC92A5DF-5F9D-4E6F-B3A7-AB337096F15E}">
          <cx:tx>
            <cx:txData>
              <cx:f/>
              <cx:v>Ploča 4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.82000005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10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endParaRPr>
            </a:p>
          </cx:txPr>
        </cx:title>
        <cx:tickLabels/>
        <cx:spPr>
          <a:ln>
            <a:solidFill>
              <a:schemeClr val="accent1">
                <a:shade val="95000"/>
                <a:satMod val="105000"/>
              </a:schemeClr>
            </a:solidFill>
          </a:ln>
        </cx:spPr>
      </cx:axis>
      <cx:axis id="1">
        <cx:valScaling min="75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hr-HR"/>
                  <a:t>E</a:t>
                </a:r>
                <a:r>
                  <a:rPr lang="en-US"/>
                  <a:t>fikasnost (%)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  <cx:numFmt formatCode="General" sourceLinked="0"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6.xml"/><Relationship Id="rId3" Type="http://schemas.microsoft.com/office/2014/relationships/chartEx" Target="../charts/chartEx2.xml"/><Relationship Id="rId7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microsoft.com/office/2014/relationships/chartEx" Target="../charts/chartEx1.xml"/><Relationship Id="rId6" Type="http://schemas.microsoft.com/office/2014/relationships/chartEx" Target="../charts/chartEx5.xml"/><Relationship Id="rId5" Type="http://schemas.microsoft.com/office/2014/relationships/chartEx" Target="../charts/chartEx4.xml"/><Relationship Id="rId4" Type="http://schemas.microsoft.com/office/2014/relationships/chartEx" Target="../charts/chartEx3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9.xml"/><Relationship Id="rId2" Type="http://schemas.microsoft.com/office/2014/relationships/chartEx" Target="../charts/chartEx8.xml"/><Relationship Id="rId1" Type="http://schemas.microsoft.com/office/2014/relationships/chartEx" Target="../charts/chartEx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microsoft.com/office/2014/relationships/chartEx" Target="../charts/chartEx14.xml"/><Relationship Id="rId18" Type="http://schemas.microsoft.com/office/2014/relationships/chartEx" Target="../charts/chartEx18.xml"/><Relationship Id="rId26" Type="http://schemas.openxmlformats.org/officeDocument/2006/relationships/image" Target="../media/image2.emf"/><Relationship Id="rId3" Type="http://schemas.openxmlformats.org/officeDocument/2006/relationships/chart" Target="../charts/chart18.xml"/><Relationship Id="rId21" Type="http://schemas.openxmlformats.org/officeDocument/2006/relationships/chart" Target="../charts/chart27.xml"/><Relationship Id="rId7" Type="http://schemas.microsoft.com/office/2014/relationships/chartEx" Target="../charts/chartEx10.xml"/><Relationship Id="rId12" Type="http://schemas.openxmlformats.org/officeDocument/2006/relationships/chart" Target="../charts/chart23.xml"/><Relationship Id="rId17" Type="http://schemas.microsoft.com/office/2014/relationships/chartEx" Target="../charts/chartEx17.xml"/><Relationship Id="rId25" Type="http://schemas.openxmlformats.org/officeDocument/2006/relationships/image" Target="../media/image1.emf"/><Relationship Id="rId2" Type="http://schemas.openxmlformats.org/officeDocument/2006/relationships/chart" Target="../charts/chart17.xml"/><Relationship Id="rId16" Type="http://schemas.microsoft.com/office/2014/relationships/chartEx" Target="../charts/chartEx16.xml"/><Relationship Id="rId20" Type="http://schemas.openxmlformats.org/officeDocument/2006/relationships/chart" Target="../charts/chart26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1" Type="http://schemas.microsoft.com/office/2014/relationships/chartEx" Target="../charts/chartEx13.xml"/><Relationship Id="rId24" Type="http://schemas.openxmlformats.org/officeDocument/2006/relationships/chart" Target="../charts/chart30.xml"/><Relationship Id="rId5" Type="http://schemas.openxmlformats.org/officeDocument/2006/relationships/chart" Target="../charts/chart20.xml"/><Relationship Id="rId15" Type="http://schemas.microsoft.com/office/2014/relationships/chartEx" Target="../charts/chartEx15.xml"/><Relationship Id="rId23" Type="http://schemas.openxmlformats.org/officeDocument/2006/relationships/chart" Target="../charts/chart29.xml"/><Relationship Id="rId10" Type="http://schemas.microsoft.com/office/2014/relationships/chartEx" Target="../charts/chartEx12.xml"/><Relationship Id="rId19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microsoft.com/office/2014/relationships/chartEx" Target="../charts/chartEx11.xml"/><Relationship Id="rId14" Type="http://schemas.openxmlformats.org/officeDocument/2006/relationships/chart" Target="../charts/chart24.xml"/><Relationship Id="rId22" Type="http://schemas.openxmlformats.org/officeDocument/2006/relationships/chart" Target="../charts/chart28.xml"/><Relationship Id="rId27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225425</xdr:colOff>
      <xdr:row>0</xdr:row>
      <xdr:rowOff>165100</xdr:rowOff>
    </xdr:from>
    <xdr:to>
      <xdr:col>16</xdr:col>
      <xdr:colOff>530225</xdr:colOff>
      <xdr:row>15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A64F60-2E1D-9039-93C9-EC9E7A14A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244475</xdr:colOff>
      <xdr:row>16</xdr:row>
      <xdr:rowOff>107950</xdr:rowOff>
    </xdr:from>
    <xdr:to>
      <xdr:col>16</xdr:col>
      <xdr:colOff>549275</xdr:colOff>
      <xdr:row>31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BFF786-7FE7-34FF-1C01-BB9AC3AC7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177800</xdr:colOff>
      <xdr:row>60</xdr:row>
      <xdr:rowOff>107950</xdr:rowOff>
    </xdr:from>
    <xdr:to>
      <xdr:col>16</xdr:col>
      <xdr:colOff>482600</xdr:colOff>
      <xdr:row>75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7B4C87-1169-4D48-B6F2-7E38DB898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222250</xdr:colOff>
      <xdr:row>76</xdr:row>
      <xdr:rowOff>120650</xdr:rowOff>
    </xdr:from>
    <xdr:to>
      <xdr:col>16</xdr:col>
      <xdr:colOff>527050</xdr:colOff>
      <xdr:row>91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F548AC-7F64-4DE9-9D1F-9C128D8A6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177800</xdr:colOff>
      <xdr:row>119</xdr:row>
      <xdr:rowOff>107950</xdr:rowOff>
    </xdr:from>
    <xdr:to>
      <xdr:col>16</xdr:col>
      <xdr:colOff>482600</xdr:colOff>
      <xdr:row>134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A436E2-8298-49D9-B5F2-7DD83AF1D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171824</xdr:colOff>
      <xdr:row>135</xdr:row>
      <xdr:rowOff>171823</xdr:rowOff>
    </xdr:from>
    <xdr:to>
      <xdr:col>16</xdr:col>
      <xdr:colOff>476624</xdr:colOff>
      <xdr:row>150</xdr:row>
      <xdr:rowOff>152774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85FA47-77A2-4929-93D5-9BD3E49D1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482600</xdr:colOff>
      <xdr:row>9</xdr:row>
      <xdr:rowOff>38100</xdr:rowOff>
    </xdr:from>
    <xdr:to>
      <xdr:col>12</xdr:col>
      <xdr:colOff>101600</xdr:colOff>
      <xdr:row>24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D169E5E-53F1-47C6-BD84-5E49C60160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81650" y="1695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247650</xdr:colOff>
      <xdr:row>0</xdr:row>
      <xdr:rowOff>31750</xdr:rowOff>
    </xdr:from>
    <xdr:to>
      <xdr:col>21</xdr:col>
      <xdr:colOff>200025</xdr:colOff>
      <xdr:row>40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63E4CE-6DA6-4DCC-9FDB-491A6825D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88900</xdr:rowOff>
    </xdr:from>
    <xdr:to>
      <xdr:col>12</xdr:col>
      <xdr:colOff>120650</xdr:colOff>
      <xdr:row>40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743D393-57A0-4930-8D65-4CC448965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508500"/>
              <a:ext cx="10172700" cy="2914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482600</xdr:colOff>
      <xdr:row>69</xdr:row>
      <xdr:rowOff>38100</xdr:rowOff>
    </xdr:from>
    <xdr:to>
      <xdr:col>12</xdr:col>
      <xdr:colOff>101600</xdr:colOff>
      <xdr:row>84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DA982AC-9F93-4399-8770-BF61869419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81650" y="12744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84</xdr:row>
      <xdr:rowOff>88900</xdr:rowOff>
    </xdr:from>
    <xdr:to>
      <xdr:col>12</xdr:col>
      <xdr:colOff>120650</xdr:colOff>
      <xdr:row>100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C6698C6-E953-45D5-8CDC-319ECA50EE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557500"/>
              <a:ext cx="10172700" cy="2914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482600</xdr:colOff>
      <xdr:row>128</xdr:row>
      <xdr:rowOff>38100</xdr:rowOff>
    </xdr:from>
    <xdr:to>
      <xdr:col>12</xdr:col>
      <xdr:colOff>101600</xdr:colOff>
      <xdr:row>143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94C2EAC0-34FC-486D-95CE-F595345E85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81650" y="23609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247650</xdr:colOff>
      <xdr:row>119</xdr:row>
      <xdr:rowOff>31750</xdr:rowOff>
    </xdr:from>
    <xdr:to>
      <xdr:col>21</xdr:col>
      <xdr:colOff>200025</xdr:colOff>
      <xdr:row>159</xdr:row>
      <xdr:rowOff>50800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BF66A05-8754-4BAF-9924-6651D0BD9D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143</xdr:row>
      <xdr:rowOff>88900</xdr:rowOff>
    </xdr:from>
    <xdr:to>
      <xdr:col>12</xdr:col>
      <xdr:colOff>120650</xdr:colOff>
      <xdr:row>159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BE10F8DE-4729-4A23-988D-DF31FB8BF9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422350"/>
              <a:ext cx="10172700" cy="2914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260350</xdr:colOff>
      <xdr:row>60</xdr:row>
      <xdr:rowOff>95250</xdr:rowOff>
    </xdr:from>
    <xdr:to>
      <xdr:col>21</xdr:col>
      <xdr:colOff>212725</xdr:colOff>
      <xdr:row>100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4DCF4E5-EEC2-49F5-B6E6-D105E1628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774700</xdr:colOff>
      <xdr:row>10</xdr:row>
      <xdr:rowOff>44450</xdr:rowOff>
    </xdr:from>
    <xdr:to>
      <xdr:col>5</xdr:col>
      <xdr:colOff>736600</xdr:colOff>
      <xdr:row>50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3CF3238-73AA-4513-BE9D-3D67E5E66A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4700" y="1885950"/>
              <a:ext cx="4572000" cy="7340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660400</xdr:colOff>
      <xdr:row>69</xdr:row>
      <xdr:rowOff>69850</xdr:rowOff>
    </xdr:from>
    <xdr:to>
      <xdr:col>5</xdr:col>
      <xdr:colOff>622300</xdr:colOff>
      <xdr:row>109</xdr:row>
      <xdr:rowOff>44450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00FAA09-94B7-4FB3-9008-85A381F8C4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400" y="12776200"/>
              <a:ext cx="4572000" cy="7340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704850</xdr:colOff>
      <xdr:row>127</xdr:row>
      <xdr:rowOff>133350</xdr:rowOff>
    </xdr:from>
    <xdr:to>
      <xdr:col>5</xdr:col>
      <xdr:colOff>666750</xdr:colOff>
      <xdr:row>167</xdr:row>
      <xdr:rowOff>107950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CB3AF20-55B1-43AE-8764-7F39B263B1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4850" y="23520400"/>
              <a:ext cx="4572000" cy="7340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111125</xdr:colOff>
      <xdr:row>10</xdr:row>
      <xdr:rowOff>44450</xdr:rowOff>
    </xdr:from>
    <xdr:to>
      <xdr:col>3</xdr:col>
      <xdr:colOff>911225</xdr:colOff>
      <xdr:row>25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7BFE2E-B08D-4D81-3F2E-88804A56E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400050</xdr:colOff>
      <xdr:row>70</xdr:row>
      <xdr:rowOff>146050</xdr:rowOff>
    </xdr:from>
    <xdr:to>
      <xdr:col>3</xdr:col>
      <xdr:colOff>1200150</xdr:colOff>
      <xdr:row>85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1B536C-B6A0-45E3-9249-968F1F9BA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368300</xdr:colOff>
      <xdr:row>129</xdr:row>
      <xdr:rowOff>158750</xdr:rowOff>
    </xdr:from>
    <xdr:to>
      <xdr:col>3</xdr:col>
      <xdr:colOff>1168400</xdr:colOff>
      <xdr:row>144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0CDE8E7-3D09-4247-9161-9DE6B3048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347869</xdr:colOff>
      <xdr:row>20</xdr:row>
      <xdr:rowOff>65412</xdr:rowOff>
    </xdr:from>
    <xdr:to>
      <xdr:col>8</xdr:col>
      <xdr:colOff>157763</xdr:colOff>
      <xdr:row>42</xdr:row>
      <xdr:rowOff>172875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84CFFF-38B6-D9BB-1622-66A2994A1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165652</xdr:colOff>
      <xdr:row>79</xdr:row>
      <xdr:rowOff>110433</xdr:rowOff>
    </xdr:from>
    <xdr:to>
      <xdr:col>7</xdr:col>
      <xdr:colOff>582937</xdr:colOff>
      <xdr:row>102</xdr:row>
      <xdr:rowOff>35678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A9CC83-AF6B-4AB7-AEE5-9BAB82F5C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336826</xdr:colOff>
      <xdr:row>138</xdr:row>
      <xdr:rowOff>143565</xdr:rowOff>
    </xdr:from>
    <xdr:to>
      <xdr:col>8</xdr:col>
      <xdr:colOff>146720</xdr:colOff>
      <xdr:row>161</xdr:row>
      <xdr:rowOff>68810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9F7A6B-B1F0-4768-A146-74528FD0F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53601</xdr:colOff>
      <xdr:row>4</xdr:row>
      <xdr:rowOff>0</xdr:rowOff>
    </xdr:from>
    <xdr:to>
      <xdr:col>8</xdr:col>
      <xdr:colOff>351563</xdr:colOff>
      <xdr:row>18</xdr:row>
      <xdr:rowOff>157285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D54339A-BFC3-4E38-B22B-BA13E6502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72651</xdr:colOff>
      <xdr:row>19</xdr:row>
      <xdr:rowOff>117720</xdr:rowOff>
    </xdr:from>
    <xdr:to>
      <xdr:col>8</xdr:col>
      <xdr:colOff>370613</xdr:colOff>
      <xdr:row>34</xdr:row>
      <xdr:rowOff>76689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2FBCB49-2F19-4E8D-BAC4-65E2A3508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311537</xdr:colOff>
      <xdr:row>4</xdr:row>
      <xdr:rowOff>2365</xdr:rowOff>
    </xdr:from>
    <xdr:to>
      <xdr:col>25</xdr:col>
      <xdr:colOff>609499</xdr:colOff>
      <xdr:row>18</xdr:row>
      <xdr:rowOff>168163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113AE96-2BD9-451B-8FA1-E423208E4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311813</xdr:colOff>
      <xdr:row>19</xdr:row>
      <xdr:rowOff>120276</xdr:rowOff>
    </xdr:from>
    <xdr:to>
      <xdr:col>25</xdr:col>
      <xdr:colOff>609775</xdr:colOff>
      <xdr:row>34</xdr:row>
      <xdr:rowOff>78456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6644596-4515-424A-9371-D69632BAE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241755</xdr:colOff>
      <xdr:row>3</xdr:row>
      <xdr:rowOff>81288</xdr:rowOff>
    </xdr:from>
    <xdr:to>
      <xdr:col>42</xdr:col>
      <xdr:colOff>539716</xdr:colOff>
      <xdr:row>18</xdr:row>
      <xdr:rowOff>64869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C784FFC-794A-483F-A124-56E08D4CE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263388</xdr:colOff>
      <xdr:row>19</xdr:row>
      <xdr:rowOff>47404</xdr:rowOff>
    </xdr:from>
    <xdr:to>
      <xdr:col>42</xdr:col>
      <xdr:colOff>561349</xdr:colOff>
      <xdr:row>34</xdr:row>
      <xdr:rowOff>10561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39399B5-419E-48ED-B2ED-90FF96C43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510603</xdr:colOff>
      <xdr:row>26</xdr:row>
      <xdr:rowOff>173948</xdr:rowOff>
    </xdr:from>
    <xdr:to>
      <xdr:col>16</xdr:col>
      <xdr:colOff>182575</xdr:colOff>
      <xdr:row>41</xdr:row>
      <xdr:rowOff>115677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C2802BF7-3424-4AE5-943C-F5055AE379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87403" y="4968198"/>
              <a:ext cx="4548772" cy="27039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90818</xdr:colOff>
      <xdr:row>59</xdr:row>
      <xdr:rowOff>81240</xdr:rowOff>
    </xdr:from>
    <xdr:to>
      <xdr:col>10</xdr:col>
      <xdr:colOff>16439</xdr:colOff>
      <xdr:row>98</xdr:row>
      <xdr:rowOff>182467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A869147-9CD3-4019-82A3-24C2AFFB1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77439</xdr:colOff>
      <xdr:row>42</xdr:row>
      <xdr:rowOff>65003</xdr:rowOff>
    </xdr:from>
    <xdr:to>
      <xdr:col>17</xdr:col>
      <xdr:colOff>448727</xdr:colOff>
      <xdr:row>57</xdr:row>
      <xdr:rowOff>177272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5A951E61-FC79-4C08-A730-A6A304C65E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7039" y="7805653"/>
              <a:ext cx="10124888" cy="28745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26</xdr:col>
      <xdr:colOff>100675</xdr:colOff>
      <xdr:row>27</xdr:row>
      <xdr:rowOff>41142</xdr:rowOff>
    </xdr:from>
    <xdr:to>
      <xdr:col>33</xdr:col>
      <xdr:colOff>385189</xdr:colOff>
      <xdr:row>42</xdr:row>
      <xdr:rowOff>13432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57DFA2D2-A5F2-47A5-89D8-8A585DCA63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50275" y="5019542"/>
              <a:ext cx="4551714" cy="2734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140938</xdr:colOff>
      <xdr:row>42</xdr:row>
      <xdr:rowOff>84126</xdr:rowOff>
    </xdr:from>
    <xdr:to>
      <xdr:col>34</xdr:col>
      <xdr:colOff>518970</xdr:colOff>
      <xdr:row>58</xdr:row>
      <xdr:rowOff>42014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3964E81F-42C5-4BCD-B5E2-AB506DEF20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13738" y="7824776"/>
              <a:ext cx="10131632" cy="29042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177883</xdr:colOff>
      <xdr:row>58</xdr:row>
      <xdr:rowOff>138968</xdr:rowOff>
    </xdr:from>
    <xdr:to>
      <xdr:col>27</xdr:col>
      <xdr:colOff>109478</xdr:colOff>
      <xdr:row>98</xdr:row>
      <xdr:rowOff>134927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D0C3458-0EC4-434A-8973-51820D7C0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43</xdr:col>
      <xdr:colOff>39228</xdr:colOff>
      <xdr:row>26</xdr:row>
      <xdr:rowOff>165145</xdr:rowOff>
    </xdr:from>
    <xdr:to>
      <xdr:col>50</xdr:col>
      <xdr:colOff>356728</xdr:colOff>
      <xdr:row>42</xdr:row>
      <xdr:rowOff>1062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7" name="Chart 26">
              <a:extLst>
                <a:ext uri="{FF2B5EF4-FFF2-40B4-BE49-F238E27FC236}">
                  <a16:creationId xmlns:a16="http://schemas.microsoft.com/office/drawing/2014/main" id="{9A9074A6-C527-4C8C-A743-8A0E91B0AE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52028" y="4959395"/>
              <a:ext cx="4584700" cy="27823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116468</xdr:colOff>
      <xdr:row>59</xdr:row>
      <xdr:rowOff>21240</xdr:rowOff>
    </xdr:from>
    <xdr:to>
      <xdr:col>44</xdr:col>
      <xdr:colOff>85172</xdr:colOff>
      <xdr:row>99</xdr:row>
      <xdr:rowOff>153573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4F416277-82B2-4DCD-9296-5061BEDCA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35</xdr:col>
      <xdr:colOff>85626</xdr:colOff>
      <xdr:row>42</xdr:row>
      <xdr:rowOff>66487</xdr:rowOff>
    </xdr:from>
    <xdr:to>
      <xdr:col>51</xdr:col>
      <xdr:colOff>533755</xdr:colOff>
      <xdr:row>58</xdr:row>
      <xdr:rowOff>78281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9" name="Chart 28">
              <a:extLst>
                <a:ext uri="{FF2B5EF4-FFF2-40B4-BE49-F238E27FC236}">
                  <a16:creationId xmlns:a16="http://schemas.microsoft.com/office/drawing/2014/main" id="{C91D9344-CBB6-424F-82D4-FB0C9A5AA4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21626" y="7807137"/>
              <a:ext cx="10201729" cy="29581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126611</xdr:colOff>
      <xdr:row>59</xdr:row>
      <xdr:rowOff>102261</xdr:rowOff>
    </xdr:from>
    <xdr:to>
      <xdr:col>17</xdr:col>
      <xdr:colOff>444111</xdr:colOff>
      <xdr:row>100</xdr:row>
      <xdr:rowOff>6615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0" name="Chart 29">
              <a:extLst>
                <a:ext uri="{FF2B5EF4-FFF2-40B4-BE49-F238E27FC236}">
                  <a16:creationId xmlns:a16="http://schemas.microsoft.com/office/drawing/2014/main" id="{A4A65F71-D18E-4C36-A648-F4ADDCA0D3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22611" y="10973461"/>
              <a:ext cx="4584700" cy="74545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27</xdr:col>
      <xdr:colOff>215372</xdr:colOff>
      <xdr:row>58</xdr:row>
      <xdr:rowOff>164944</xdr:rowOff>
    </xdr:from>
    <xdr:to>
      <xdr:col>34</xdr:col>
      <xdr:colOff>532871</xdr:colOff>
      <xdr:row>99</xdr:row>
      <xdr:rowOff>62549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1" name="Chart 30">
              <a:extLst>
                <a:ext uri="{FF2B5EF4-FFF2-40B4-BE49-F238E27FC236}">
                  <a16:creationId xmlns:a16="http://schemas.microsoft.com/office/drawing/2014/main" id="{DF0C2E48-1E94-4C55-BABB-1ACABF0D99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74572" y="10851994"/>
              <a:ext cx="4584699" cy="74477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44</xdr:col>
      <xdr:colOff>265914</xdr:colOff>
      <xdr:row>59</xdr:row>
      <xdr:rowOff>37552</xdr:rowOff>
    </xdr:from>
    <xdr:to>
      <xdr:col>51</xdr:col>
      <xdr:colOff>583414</xdr:colOff>
      <xdr:row>99</xdr:row>
      <xdr:rowOff>121009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2" name="Chart 31">
              <a:extLst>
                <a:ext uri="{FF2B5EF4-FFF2-40B4-BE49-F238E27FC236}">
                  <a16:creationId xmlns:a16="http://schemas.microsoft.com/office/drawing/2014/main" id="{B78D128D-E104-400E-B34A-802B846E38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088314" y="10908752"/>
              <a:ext cx="4584700" cy="74494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142567</xdr:colOff>
      <xdr:row>124</xdr:row>
      <xdr:rowOff>102260</xdr:rowOff>
    </xdr:from>
    <xdr:to>
      <xdr:col>8</xdr:col>
      <xdr:colOff>460067</xdr:colOff>
      <xdr:row>139</xdr:row>
      <xdr:rowOff>124032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E04FCDA6-906A-4FE0-861B-DBBBC8226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18</xdr:col>
      <xdr:colOff>205172</xdr:colOff>
      <xdr:row>124</xdr:row>
      <xdr:rowOff>86856</xdr:rowOff>
    </xdr:from>
    <xdr:to>
      <xdr:col>25</xdr:col>
      <xdr:colOff>513339</xdr:colOff>
      <xdr:row>139</xdr:row>
      <xdr:rowOff>108628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3B62422-781B-4099-A5EA-3522A6E2C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35</xdr:col>
      <xdr:colOff>127179</xdr:colOff>
      <xdr:row>125</xdr:row>
      <xdr:rowOff>23270</xdr:rowOff>
    </xdr:from>
    <xdr:to>
      <xdr:col>42</xdr:col>
      <xdr:colOff>444679</xdr:colOff>
      <xdr:row>140</xdr:row>
      <xdr:rowOff>45042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BA95194-5FD0-4BD7-90E9-D242A0C82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96835</xdr:colOff>
      <xdr:row>101</xdr:row>
      <xdr:rowOff>37132</xdr:rowOff>
    </xdr:from>
    <xdr:to>
      <xdr:col>14</xdr:col>
      <xdr:colOff>23080</xdr:colOff>
      <xdr:row>123</xdr:row>
      <xdr:rowOff>155197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6C2BD915-9DBA-445E-8163-E09B98031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18</xdr:col>
      <xdr:colOff>153965</xdr:colOff>
      <xdr:row>101</xdr:row>
      <xdr:rowOff>78678</xdr:rowOff>
    </xdr:from>
    <xdr:to>
      <xdr:col>31</xdr:col>
      <xdr:colOff>80210</xdr:colOff>
      <xdr:row>124</xdr:row>
      <xdr:rowOff>28815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ECD45E45-8D1D-49AE-ACD5-B3D36094C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35</xdr:col>
      <xdr:colOff>106539</xdr:colOff>
      <xdr:row>101</xdr:row>
      <xdr:rowOff>68964</xdr:rowOff>
    </xdr:from>
    <xdr:to>
      <xdr:col>48</xdr:col>
      <xdr:colOff>32784</xdr:colOff>
      <xdr:row>124</xdr:row>
      <xdr:rowOff>19101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279C0139-C688-4689-B96B-2AEC7CB8C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8</xdr:col>
      <xdr:colOff>508000</xdr:colOff>
      <xdr:row>4</xdr:row>
      <xdr:rowOff>11546</xdr:rowOff>
    </xdr:from>
    <xdr:to>
      <xdr:col>17</xdr:col>
      <xdr:colOff>385041</xdr:colOff>
      <xdr:row>26</xdr:row>
      <xdr:rowOff>75046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B38E5B2F-EE3A-3635-9CFB-8C71ECDE9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3273" y="762001"/>
          <a:ext cx="5384223" cy="412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69272</xdr:colOff>
      <xdr:row>4</xdr:row>
      <xdr:rowOff>46181</xdr:rowOff>
    </xdr:from>
    <xdr:to>
      <xdr:col>34</xdr:col>
      <xdr:colOff>558222</xdr:colOff>
      <xdr:row>26</xdr:row>
      <xdr:rowOff>109681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1113A25-400B-22B0-A1E1-7EC65043C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78908" y="796636"/>
          <a:ext cx="5384223" cy="412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4</xdr:row>
      <xdr:rowOff>0</xdr:rowOff>
    </xdr:from>
    <xdr:to>
      <xdr:col>51</xdr:col>
      <xdr:colOff>488950</xdr:colOff>
      <xdr:row>26</xdr:row>
      <xdr:rowOff>63500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A447EE7-EEBE-1576-E59E-F1B48E4AA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12800" y="742950"/>
          <a:ext cx="5365750" cy="411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60F445-F79E-4AF0-928A-EDE366AB8A34}" name="Table1" displayName="Table1" ref="A1:O51" totalsRowShown="0" headerRowDxfId="125" dataDxfId="124">
  <autoFilter ref="A1:O51" xr:uid="{4F60F445-F79E-4AF0-928A-EDE366AB8A34}"/>
  <tableColumns count="15">
    <tableColumn id="1" xr3:uid="{BCF5BEAF-69E8-443A-90AC-23D775C4ABBE}" name="run_id" dataDxfId="123"/>
    <tableColumn id="2" xr3:uid="{54929A33-33C9-439E-99BD-7B0181522070}" name="total_efficiency" dataDxfId="122"/>
    <tableColumn id="3" xr3:uid="{CD8553A8-211B-4344-9806-0FF6B6403EB4}" name="sheet_1_eff" dataDxfId="121"/>
    <tableColumn id="4" xr3:uid="{16F62AD5-3689-459B-99E8-AF0586180333}" name="sheet_2_eff" dataDxfId="120"/>
    <tableColumn id="5" xr3:uid="{4DBA8DCC-7371-40BC-A90F-CAE8D669DB17}" name="sheet_3_eff" dataDxfId="119"/>
    <tableColumn id="6" xr3:uid="{550DF79D-1675-4031-A091-57DFAFBB1C47}" name="last_sheet_true_eff" dataDxfId="118"/>
    <tableColumn id="7" xr3:uid="{054F2A16-91BA-4F35-8FA0-0BC0A814276A}" name="execution_time_ms" dataDxfId="117"/>
    <tableColumn id="8" xr3:uid="{1546C5E0-2AF9-4CD2-9C70-FEDED5D965FE}" name="total_waste_mm2" dataDxfId="116"/>
    <tableColumn id="9" xr3:uid="{EE4DCC11-E31B-417C-B5F4-729FB76200EC}" name="sheets_used" dataDxfId="115"/>
    <tableColumn id="10" xr3:uid="{FC857975-09BD-4B04-9476-65A4EAF41F6D}" name="Column3" dataDxfId="114"/>
    <tableColumn id="11" xr3:uid="{F6175282-57B0-47BD-8E39-07287E9C10DC}" name="Efficiency per ms" dataDxfId="113">
      <calculatedColumnFormula>Table1[[#This Row],[total_efficiency]]/Table1[[#This Row],[execution_time_ms]]</calculatedColumnFormula>
    </tableColumn>
    <tableColumn id="12" xr3:uid="{CE785322-5F2A-48DE-8E6A-07C938DC3FBF}" name="Column2" dataDxfId="112"/>
    <tableColumn id="13" xr3:uid="{DEF0CA0A-E252-4B6F-BEF8-88DD8E117808}" name="Waste per sheet" dataDxfId="111">
      <calculatedColumnFormula>Table1[[#This Row],[total_waste_mm2]]/4</calculatedColumnFormula>
    </tableColumn>
    <tableColumn id="14" xr3:uid="{ED708BEC-47F8-48FA-AB26-4F7EE893940B}" name="Column1" dataDxfId="110"/>
    <tableColumn id="15" xr3:uid="{8F3F349A-0D09-48AD-9AE3-A6147165A870}" name="Efficiency drop on last sheet" dataDxfId="109">
      <calculatedColumnFormula>Table1[[#This Row],[sheet_3_eff]]-Table1[[#This Row],[last_sheet_true_eff]]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A0F745E-1979-4D73-B6BF-AA62FFE30B49}" name="Table10" displayName="Table10" ref="A61:O111" totalsRowShown="0" headerRowDxfId="108">
  <autoFilter ref="A61:O111" xr:uid="{AA0F745E-1979-4D73-B6BF-AA62FFE30B49}"/>
  <tableColumns count="15">
    <tableColumn id="1" xr3:uid="{B14D40AC-2ACC-47F1-A0F5-8DEC00E778F0}" name="run_id" dataDxfId="107"/>
    <tableColumn id="2" xr3:uid="{A383D4BB-1FE3-4B54-A038-051527817239}" name="total_efficiency" dataDxfId="106"/>
    <tableColumn id="3" xr3:uid="{DAFDDE71-9EF2-415A-A7C4-6DA438BD8CEB}" name="sheet_1_eff" dataDxfId="105"/>
    <tableColumn id="4" xr3:uid="{4016E6AE-15CC-4204-9816-3EDC1B739C75}" name="sheet_2_eff" dataDxfId="104"/>
    <tableColumn id="5" xr3:uid="{2A90DE1E-729A-4D91-B78B-DF4DD40B9379}" name="sheet_3_eff" dataDxfId="103"/>
    <tableColumn id="6" xr3:uid="{BB305E95-F850-4454-A582-CBBE092137C8}" name="last_sheet_true_eff" dataDxfId="102"/>
    <tableColumn id="7" xr3:uid="{A6DAE1AC-A0DF-4965-A3C3-A06ADD333819}" name="execution_time_ms"/>
    <tableColumn id="8" xr3:uid="{5C0F6129-7833-482F-B244-5FC41DE402BD}" name="total_waste_mm2"/>
    <tableColumn id="9" xr3:uid="{372AC770-D95B-4848-868D-A39E64C3E83F}" name="sheets_used" dataDxfId="101"/>
    <tableColumn id="10" xr3:uid="{7D91ACB8-FDBE-424B-B9FA-1E369AFB3B14}" name="Column1" dataDxfId="100"/>
    <tableColumn id="11" xr3:uid="{ED387674-3DA2-4468-B88C-28E10A252D6E}" name="Efficiency per ms" dataDxfId="99">
      <calculatedColumnFormula>Table10[[#This Row],[total_efficiency]]/Table10[[#This Row],[execution_time_ms]]</calculatedColumnFormula>
    </tableColumn>
    <tableColumn id="12" xr3:uid="{A139AB2C-218E-4FBC-979E-4CC57BC089F4}" name="Column2" dataDxfId="98"/>
    <tableColumn id="13" xr3:uid="{A496A5A9-D55A-4B08-B666-A2C897EB2D1D}" name="Waste per sheet" dataDxfId="97">
      <calculatedColumnFormula>Table10[[#This Row],[total_waste_mm2]]/4</calculatedColumnFormula>
    </tableColumn>
    <tableColumn id="14" xr3:uid="{AD06C84D-22AD-415F-9DC1-7FF7F054868A}" name="Column3" dataDxfId="96"/>
    <tableColumn id="15" xr3:uid="{F42153A2-BCB2-4328-9B78-C60FC3A126DD}" name="Efficiency drop on last sheet" dataDxfId="95">
      <calculatedColumnFormula>Table10[[#This Row],[sheet_3_eff]]-Table10[[#This Row],[last_sheet_true_eff]]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0E1A1B3-4328-4AD5-B04C-E50FF7B3A13B}" name="Table1042" displayName="Table1042" ref="A120:O170" totalsRowShown="0" headerRowDxfId="94">
  <autoFilter ref="A120:O170" xr:uid="{10E1A1B3-4328-4AD5-B04C-E50FF7B3A13B}"/>
  <tableColumns count="15">
    <tableColumn id="1" xr3:uid="{980E21C4-C9D6-41CA-8ED3-2CFD8467AFCD}" name="run_id" dataDxfId="93"/>
    <tableColumn id="2" xr3:uid="{68170FBE-EE04-4235-89E9-7FF1A1D9A8FA}" name="total_efficiency" dataDxfId="92"/>
    <tableColumn id="3" xr3:uid="{34BE83E1-AFD5-44DD-A5F6-55FE9E2EF439}" name="sheet_1_eff" dataDxfId="91"/>
    <tableColumn id="4" xr3:uid="{3A869EB4-7215-4CF6-8A31-417E52878E24}" name="sheet_2_eff" dataDxfId="90"/>
    <tableColumn id="5" xr3:uid="{9CEE5A46-02EB-41D0-AD08-E8675847CD83}" name="sheet_3_eff" dataDxfId="89"/>
    <tableColumn id="6" xr3:uid="{FA483A5A-0F43-4628-B6B1-12D96B368B0A}" name="last_sheet_true_eff" dataDxfId="88"/>
    <tableColumn id="7" xr3:uid="{144FDDAB-9AB2-4DD0-B401-D50CA26EA26B}" name="execution_time_ms"/>
    <tableColumn id="8" xr3:uid="{E3544A65-CF88-44D7-AB85-2B7149056F34}" name="total_waste_mm2"/>
    <tableColumn id="9" xr3:uid="{08148CCB-FA18-4DB6-99D4-FC5B93B7C242}" name="sheets_used" dataDxfId="87"/>
    <tableColumn id="10" xr3:uid="{AB6C9C62-1DC5-45DD-A7DB-7AD6F294719E}" name="Column1" dataDxfId="86"/>
    <tableColumn id="11" xr3:uid="{5EEDBB22-543F-4105-B6D4-A55592974C3A}" name="Efficiency per ms" dataDxfId="85">
      <calculatedColumnFormula>Table1042[[#This Row],[total_efficiency]]/Table1042[[#This Row],[execution_time_ms]]</calculatedColumnFormula>
    </tableColumn>
    <tableColumn id="12" xr3:uid="{5CB50333-0693-441B-9224-0D4AF66F2A9E}" name="Column2" dataDxfId="84"/>
    <tableColumn id="13" xr3:uid="{6B1AF1E3-ED1B-4BC5-8455-4E5B2FBE7379}" name="Waste per sheet" dataDxfId="83">
      <calculatedColumnFormula>Table1042[[#This Row],[total_waste_mm2]]/4</calculatedColumnFormula>
    </tableColumn>
    <tableColumn id="14" xr3:uid="{02A6EE5D-ACBD-4570-96CF-66CEDAC9AD19}" name="Column3" dataDxfId="82"/>
    <tableColumn id="15" xr3:uid="{CEF73ADE-1226-4246-932D-14741E2CF2D2}" name="Efficiency drop on last sheet" dataDxfId="81">
      <calculatedColumnFormula>Table1042[[#This Row],[sheet_3_eff]]-Table1042[[#This Row],[last_sheet_true_eff]]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A39D53-D90E-4905-B7C7-B87338EC9D76}" name="Table2" displayName="Table2" ref="A1:I51" totalsRowShown="0" headerRowDxfId="80">
  <autoFilter ref="A1:I51" xr:uid="{0CA39D53-D90E-4905-B7C7-B87338EC9D76}"/>
  <sortState xmlns:xlrd2="http://schemas.microsoft.com/office/spreadsheetml/2017/richdata2" ref="A2:I51">
    <sortCondition ref="A1:A51"/>
  </sortState>
  <tableColumns count="9">
    <tableColumn id="1" xr3:uid="{6B4212E2-1289-41F0-A117-5992215B0951}" name="run" dataDxfId="79">
      <calculatedColumnFormula>raw_podaci!A2</calculatedColumnFormula>
    </tableColumn>
    <tableColumn id="2" xr3:uid="{07ACE627-33B9-423D-B716-3F0C073A1FF6}" name="efikasnost_%" dataDxfId="78">
      <calculatedColumnFormula>raw_podaci!B2</calculatedColumnFormula>
    </tableColumn>
    <tableColumn id="3" xr3:uid="{519C7D25-D26D-4DF0-B667-0A42408DA70A}" name="ploca_1_%" dataDxfId="77">
      <calculatedColumnFormula>raw_podaci!C2</calculatedColumnFormula>
    </tableColumn>
    <tableColumn id="4" xr3:uid="{A5458833-3047-49BA-B19E-F7FBCAEFEEB9}" name="ploca_2_%" dataDxfId="76">
      <calculatedColumnFormula>raw_podaci!D2</calculatedColumnFormula>
    </tableColumn>
    <tableColumn id="5" xr3:uid="{29A1748D-2255-40BC-B4A6-788246B397FB}" name="ploca_3_%" dataDxfId="75">
      <calculatedColumnFormula>raw_podaci!E2</calculatedColumnFormula>
    </tableColumn>
    <tableColumn id="6" xr3:uid="{DB1C95A3-5FA4-4E8F-99D7-50958CBF1B92}" name="zadnja_ploca_%" dataDxfId="74">
      <calculatedColumnFormula>raw_podaci!F2</calculatedColumnFormula>
    </tableColumn>
    <tableColumn id="7" xr3:uid="{EAB603B7-ADC4-41EA-A350-3F81E6AF0FD2}" name="vrijeme_s">
      <calculatedColumnFormula>raw_podaci!G2/1000</calculatedColumnFormula>
    </tableColumn>
    <tableColumn id="8" xr3:uid="{EC58CAF8-2403-4B2F-B722-C75E22EC6308}" name="otpad_m2">
      <calculatedColumnFormula>raw_podaci!H2/1000000</calculatedColumnFormula>
    </tableColumn>
    <tableColumn id="9" xr3:uid="{FF4B4987-EB81-4BF2-A15C-F14BF310BB5D}" name="pad_zadnje_%" dataDxfId="73">
      <calculatedColumnFormula>raw_podaci!O2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EFCECBE-1247-43AF-9F6B-BD7C6507F432}" name="Table212" displayName="Table212" ref="A61:I111" totalsRowShown="0" headerRowDxfId="72">
  <autoFilter ref="A61:I111" xr:uid="{9EFCECBE-1247-43AF-9F6B-BD7C6507F432}"/>
  <sortState xmlns:xlrd2="http://schemas.microsoft.com/office/spreadsheetml/2017/richdata2" ref="A62:I111">
    <sortCondition ref="A61:A111"/>
  </sortState>
  <tableColumns count="9">
    <tableColumn id="1" xr3:uid="{1574B66C-B45D-4618-888B-6414B2178302}" name="run" dataDxfId="71">
      <calculatedColumnFormula>raw_podaci!A62</calculatedColumnFormula>
    </tableColumn>
    <tableColumn id="2" xr3:uid="{E9D4F843-286F-49C8-AB00-18C166CDB384}" name="efikasnost_%" dataDxfId="70">
      <calculatedColumnFormula>raw_podaci!B62</calculatedColumnFormula>
    </tableColumn>
    <tableColumn id="3" xr3:uid="{48CBBF71-076C-4105-89C3-99C4B63D6F1A}" name="ploca_1_%" dataDxfId="69">
      <calculatedColumnFormula>raw_podaci!C62</calculatedColumnFormula>
    </tableColumn>
    <tableColumn id="4" xr3:uid="{59FDCE1B-4CDC-4047-AFC5-A6EBC875B211}" name="ploca_2_%" dataDxfId="68">
      <calculatedColumnFormula>raw_podaci!D62</calculatedColumnFormula>
    </tableColumn>
    <tableColumn id="5" xr3:uid="{3FEDAEC4-871A-4B2C-895F-57509CE16267}" name="ploca_3_%" dataDxfId="67">
      <calculatedColumnFormula>raw_podaci!E62</calculatedColumnFormula>
    </tableColumn>
    <tableColumn id="6" xr3:uid="{82F8B15E-FFE2-4BBA-8017-3C08D5B32D8D}" name="zadnja_ploca_%" dataDxfId="66">
      <calculatedColumnFormula>raw_podaci!F62</calculatedColumnFormula>
    </tableColumn>
    <tableColumn id="7" xr3:uid="{43D5BDC6-DD40-49EB-A3B3-6147A5A3C71E}" name="vrijeme_s">
      <calculatedColumnFormula>raw_podaci!G62/1000</calculatedColumnFormula>
    </tableColumn>
    <tableColumn id="8" xr3:uid="{962780A0-44B6-450A-BF70-F735A46DFF5E}" name="otpad_m2">
      <calculatedColumnFormula>raw_podaci!H62/1000000</calculatedColumnFormula>
    </tableColumn>
    <tableColumn id="9" xr3:uid="{9F0393C5-7AEF-42DC-9B18-3AB8427FB7A8}" name="pad_zadnje_%" dataDxfId="65">
      <calculatedColumnFormula>raw_podaci!O62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B149877-51F7-42B4-BADD-CA166D16D0BB}" name="Table15" displayName="Table15" ref="S1:T51" totalsRowShown="0" tableBorderDxfId="64">
  <autoFilter ref="S1:T51" xr:uid="{9B149877-51F7-42B4-BADD-CA166D16D0BB}"/>
  <sortState xmlns:xlrd2="http://schemas.microsoft.com/office/spreadsheetml/2017/richdata2" ref="S2:T51">
    <sortCondition ref="T1:T51"/>
  </sortState>
  <tableColumns count="2">
    <tableColumn id="1" xr3:uid="{6AB4CBE8-5E07-46C9-91D1-1334AF09E2E7}" name="run" dataDxfId="63">
      <calculatedColumnFormula>raw_podaci!A2</calculatedColumnFormula>
    </tableColumn>
    <tableColumn id="2" xr3:uid="{4D27736F-7091-45FF-91BD-7B65E4C424DD}" name="pad_zadnje_%" dataDxfId="62">
      <calculatedColumnFormula>raw_podaci!O2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CBD3594-5521-4B37-ABE5-3EDDD4B7BB19}" name="Table16" displayName="Table16" ref="S61:T111" totalsRowShown="0" tableBorderDxfId="61">
  <autoFilter ref="S61:T111" xr:uid="{9CBD3594-5521-4B37-ABE5-3EDDD4B7BB19}"/>
  <sortState xmlns:xlrd2="http://schemas.microsoft.com/office/spreadsheetml/2017/richdata2" ref="S62:T111">
    <sortCondition ref="T61:T111"/>
  </sortState>
  <tableColumns count="2">
    <tableColumn id="1" xr3:uid="{EE14634B-EF43-484A-B40D-FE31BD56F2F4}" name="run" dataDxfId="60">
      <calculatedColumnFormula>raw_podaci!A62</calculatedColumnFormula>
    </tableColumn>
    <tableColumn id="2" xr3:uid="{BDCBF4E8-3561-4CAA-A54E-1F195072BF11}" name="pad_zadnje_%" dataDxfId="59">
      <calculatedColumnFormula>raw_podaci!O62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AB4859A-D74C-4BAE-BE83-D69E93DAC8A0}" name="Table21218" displayName="Table21218" ref="A120:I170" totalsRowShown="0" headerRowDxfId="58">
  <autoFilter ref="A120:I170" xr:uid="{DAB4859A-D74C-4BAE-BE83-D69E93DAC8A0}"/>
  <sortState xmlns:xlrd2="http://schemas.microsoft.com/office/spreadsheetml/2017/richdata2" ref="A121:I170">
    <sortCondition ref="A1:A51"/>
  </sortState>
  <tableColumns count="9">
    <tableColumn id="1" xr3:uid="{B51E853F-FC0C-4495-A2CB-DA0526FFA255}" name="run" dataDxfId="57">
      <calculatedColumnFormula>raw_podaci!A121</calculatedColumnFormula>
    </tableColumn>
    <tableColumn id="2" xr3:uid="{9D46DDB7-9116-446E-8829-6C4D6CE7EAD8}" name="efikasnost_%" dataDxfId="56">
      <calculatedColumnFormula>raw_podaci!B121</calculatedColumnFormula>
    </tableColumn>
    <tableColumn id="3" xr3:uid="{80D37B82-CE92-42B8-B895-5206FAC13116}" name="ploca_1_%" dataDxfId="55">
      <calculatedColumnFormula>raw_podaci!C121</calculatedColumnFormula>
    </tableColumn>
    <tableColumn id="4" xr3:uid="{B04CCC00-11F1-44FF-B846-BF74CC0605DA}" name="ploca_2_%" dataDxfId="54">
      <calculatedColumnFormula>raw_podaci!D121</calculatedColumnFormula>
    </tableColumn>
    <tableColumn id="5" xr3:uid="{CF504407-A040-4C7D-8618-000A3F0518C1}" name="ploca_3_%" dataDxfId="53">
      <calculatedColumnFormula>raw_podaci!E121</calculatedColumnFormula>
    </tableColumn>
    <tableColumn id="6" xr3:uid="{1C659BBF-1AE4-4BE6-9131-1789F2C160D8}" name="zadnja_ploca_%" dataDxfId="52">
      <calculatedColumnFormula>raw_podaci!F121</calculatedColumnFormula>
    </tableColumn>
    <tableColumn id="7" xr3:uid="{EAB2F068-D666-41DB-B601-7CA4040CAB2B}" name="vrijeme_s">
      <calculatedColumnFormula>raw_podaci!G121/1000</calculatedColumnFormula>
    </tableColumn>
    <tableColumn id="8" xr3:uid="{1832B238-AAA8-4633-8196-C47AEB2A6E85}" name="otpad_m2">
      <calculatedColumnFormula>raw_podaci!H121/1000000</calculatedColumnFormula>
    </tableColumn>
    <tableColumn id="9" xr3:uid="{C280B842-35E8-4277-A450-96409BE2280B}" name="pad_zadnje_%" dataDxfId="51">
      <calculatedColumnFormula>raw_podaci!O121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91B89D5-C250-4A95-AA93-5953023B5C66}" name="Table1619" displayName="Table1619" ref="S120:T170" totalsRowShown="0" tableBorderDxfId="50">
  <autoFilter ref="S120:T170" xr:uid="{891B89D5-C250-4A95-AA93-5953023B5C66}"/>
  <sortState xmlns:xlrd2="http://schemas.microsoft.com/office/spreadsheetml/2017/richdata2" ref="S121:T170">
    <sortCondition ref="T120:T170"/>
  </sortState>
  <tableColumns count="2">
    <tableColumn id="1" xr3:uid="{6A9E4E43-067C-4719-BFC3-F3BC88A6353C}" name="run" dataDxfId="49">
      <calculatedColumnFormula>raw_podaci!A121</calculatedColumnFormula>
    </tableColumn>
    <tableColumn id="2" xr3:uid="{EA831A79-0599-4C3D-A98F-874C3BC55658}" name="pad_zadnje_%" dataDxfId="48">
      <calculatedColumnFormula>raw_podaci!O121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0A066C-2B60-46A9-8F8C-606FAC41DB2C}" name="Table3" displayName="Table3" ref="A1:H9" totalsRowShown="0" headerRowDxfId="47">
  <autoFilter ref="A1:H9" xr:uid="{630A066C-2B60-46A9-8F8C-606FAC41DB2C}"/>
  <tableColumns count="8">
    <tableColumn id="1" xr3:uid="{5DD56657-0EEA-42EA-9CBD-B4DE2016D394}" name="metrika"/>
    <tableColumn id="2" xr3:uid="{71C964E2-E369-4ABE-91D5-E335B9D64580}" name="min"/>
    <tableColumn id="3" xr3:uid="{3F12FD58-3004-4AAB-A814-96FE6DC8CEC0}" name="q1"/>
    <tableColumn id="4" xr3:uid="{EE16E11F-2412-4685-B855-C184818D85DE}" name="medijan"/>
    <tableColumn id="5" xr3:uid="{3D5C8137-E501-4825-BD00-BB3A6ECE6BFD}" name="prosjek"/>
    <tableColumn id="6" xr3:uid="{10E7B99D-2159-4FDB-9498-DB995EBE8BFC}" name="q3"/>
    <tableColumn id="7" xr3:uid="{E70E8F85-0E88-4FD3-AE44-631924EF2056}" name="max"/>
    <tableColumn id="8" xr3:uid="{DF1550EB-6FD3-4AC4-8029-6D57C4959ED9}" name="st_dev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9D119F8-8A18-4D55-AFB8-B7EDE4C8F6C3}" name="Table313" displayName="Table313" ref="A61:H69" totalsRowShown="0" headerRowDxfId="46">
  <autoFilter ref="A61:H69" xr:uid="{49D119F8-8A18-4D55-AFB8-B7EDE4C8F6C3}"/>
  <tableColumns count="8">
    <tableColumn id="1" xr3:uid="{43B37969-0266-4FC8-A191-9920B63DDBB8}" name="metrika"/>
    <tableColumn id="2" xr3:uid="{1E5DB45D-D73F-4E9F-9C3E-0CC86C4EE66D}" name="min"/>
    <tableColumn id="3" xr3:uid="{33F3F8ED-E1EE-42BC-8937-E5E9CB68C76A}" name="q1"/>
    <tableColumn id="4" xr3:uid="{ED6DE4DA-36A0-4FE6-9DEF-A86545FEBE86}" name="medijan"/>
    <tableColumn id="5" xr3:uid="{1897F5E9-E3E7-4773-B69B-DA3D8463D9E9}" name="prosjek"/>
    <tableColumn id="6" xr3:uid="{070ED007-2074-4B4F-A665-F6CFDF7B6CAA}" name="q3"/>
    <tableColumn id="7" xr3:uid="{DADCB5B3-90A1-478B-91D6-131B9E147740}" name="max"/>
    <tableColumn id="8" xr3:uid="{C017519E-099F-4526-8328-B31C1A5DCF77}" name="st_dev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2E02432-9EFC-4886-BF3E-8BC469BE1CC2}" name="Table31315" displayName="Table31315" ref="A120:H128" totalsRowShown="0" headerRowDxfId="45">
  <autoFilter ref="A120:H128" xr:uid="{42E02432-9EFC-4886-BF3E-8BC469BE1CC2}"/>
  <tableColumns count="8">
    <tableColumn id="1" xr3:uid="{5A0C6939-28FD-4702-B3F1-BD12F746BFA2}" name="metrika"/>
    <tableColumn id="2" xr3:uid="{E5E036A0-2960-47D1-887C-3B1B6640B821}" name="min"/>
    <tableColumn id="3" xr3:uid="{B5CC9CD4-FCC3-425E-B023-3D69C7E20264}" name="q1"/>
    <tableColumn id="4" xr3:uid="{627FC3F0-8111-4225-A20E-D77E4498018D}" name="medijan"/>
    <tableColumn id="5" xr3:uid="{FB64A604-E359-45E2-9F23-1A39D59ADF46}" name="prosjek"/>
    <tableColumn id="6" xr3:uid="{2EEEAF0D-1DF7-4B88-8094-0F28DBAA9A90}" name="q3"/>
    <tableColumn id="7" xr3:uid="{EE55F952-5112-429F-926D-13EE140CD298}" name="max"/>
    <tableColumn id="8" xr3:uid="{677F59E9-A66C-4A15-9414-89B2FBE9F1FF}" name="st_dev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E49DBF-4231-4E65-B81B-B16D13ABE895}" name="Table4" displayName="Table4" ref="A1:G5" totalsRowShown="0" headerRowDxfId="44">
  <autoFilter ref="A1:G5" xr:uid="{AFE49DBF-4231-4E65-B81B-B16D13ABE895}"/>
  <tableColumns count="7">
    <tableColumn id="1" xr3:uid="{92FDA253-1FFB-46A2-8D07-6E454263D734}" name="ploča"/>
    <tableColumn id="2" xr3:uid="{F5B29318-4EC2-4F4C-B3F3-F8DB28950044}" name="prosjek" dataDxfId="43"/>
    <tableColumn id="3" xr3:uid="{39026BEA-4956-48A7-B530-E9BAC6CE64F6}" name="min" dataDxfId="42"/>
    <tableColumn id="4" xr3:uid="{B67CF15F-7F8F-4130-8510-ED1870F82501}" name="q1" dataDxfId="41"/>
    <tableColumn id="5" xr3:uid="{DD387391-7E27-4B68-B56D-94A8757A61F9}" name="medijan" dataDxfId="40"/>
    <tableColumn id="6" xr3:uid="{D167B97D-79FE-4F89-91EF-383111161510}" name="q3" dataDxfId="39"/>
    <tableColumn id="7" xr3:uid="{09FC5E32-3A6C-4FDE-B1A4-FD1F219795CD}" name="max" dataDxfId="38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4E6F626-C813-4635-BC1F-682C6CD287C8}" name="Table423" displayName="Table423" ref="A61:G65" totalsRowShown="0" headerRowDxfId="37">
  <autoFilter ref="A61:G65" xr:uid="{E4E6F626-C813-4635-BC1F-682C6CD287C8}"/>
  <tableColumns count="7">
    <tableColumn id="1" xr3:uid="{6DD56BD8-FBFC-4F0B-A994-1C07CBC024F0}" name="ploča"/>
    <tableColumn id="2" xr3:uid="{DAFBC951-193C-43F3-9B43-642B1BE1DC5F}" name="prosjek" dataDxfId="36"/>
    <tableColumn id="3" xr3:uid="{92122800-523F-48A6-82E6-C8F1A336088A}" name="min" dataDxfId="35"/>
    <tableColumn id="4" xr3:uid="{E2A927EA-12DC-401F-8085-D5E456F14BB4}" name="q1" dataDxfId="34"/>
    <tableColumn id="5" xr3:uid="{647C5E5D-B3AB-4147-A5CB-140FE879E4F7}" name="medijan" dataDxfId="33"/>
    <tableColumn id="6" xr3:uid="{90ED685C-4C5A-495D-A793-413472FD5AC8}" name="q3" dataDxfId="32"/>
    <tableColumn id="7" xr3:uid="{67EF5DB7-8249-40E1-BA9D-769227D538A1}" name="max" dataDxfId="31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0A7A8C1-350B-4FBA-BF33-9F3E8F9ED9D8}" name="Table424" displayName="Table424" ref="A120:G124" totalsRowShown="0" headerRowDxfId="30">
  <autoFilter ref="A120:G124" xr:uid="{20A7A8C1-350B-4FBA-BF33-9F3E8F9ED9D8}"/>
  <tableColumns count="7">
    <tableColumn id="1" xr3:uid="{BB4FF7E9-883F-4744-A5FD-4155301E9B99}" name="ploča"/>
    <tableColumn id="2" xr3:uid="{8E247FBC-9660-41F0-A776-DDFEDCD49F80}" name="prosjek" dataDxfId="29"/>
    <tableColumn id="3" xr3:uid="{0714AE87-1B1A-4395-BD43-B0E4775C5681}" name="min" dataDxfId="28"/>
    <tableColumn id="4" xr3:uid="{B623EFAD-115F-4D2B-9965-B6C57304828D}" name="q1" dataDxfId="27"/>
    <tableColumn id="5" xr3:uid="{C9B2CE3C-321F-4D82-B77E-5BCD87C405E2}" name="medijan" dataDxfId="26"/>
    <tableColumn id="6" xr3:uid="{0420D442-16B6-46B7-A364-EC879B6767FF}" name="q3" dataDxfId="25"/>
    <tableColumn id="7" xr3:uid="{0BAEA963-3C1F-4DDE-99A4-1AB917A6E34B}" name="max" dataDxfId="24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33E806-DECA-48F7-BD40-9C8E6D83904E}" name="Table5" displayName="Table5" ref="A1:E7" totalsRowShown="0" headerRowDxfId="23">
  <autoFilter ref="A1:E7" xr:uid="{F433E806-DECA-48F7-BD40-9C8E6D83904E}"/>
  <tableColumns count="5">
    <tableColumn id="1" xr3:uid="{4CA3B71E-51FC-44BD-AC61-0BF8D2320702}" name="metrika"/>
    <tableColumn id="2" xr3:uid="{B7860E25-1C76-4447-AD92-EE823DD39EAC}" name="GuillotineStrip" dataDxfId="22"/>
    <tableColumn id="3" xr3:uid="{B55F75D0-2AE9-4851-B065-852780635717}" name="referenca" dataDxfId="21"/>
    <tableColumn id="4" xr3:uid="{B54227B2-14DE-44F8-8283-CEAFA23D0177}" name="razlika" dataDxfId="20">
      <calculatedColumnFormula>B2-C2</calculatedColumnFormula>
    </tableColumn>
    <tableColumn id="5" xr3:uid="{29F3CA2A-C7AD-486A-9A6A-9623439036FC}" name="razlika_%" dataDxfId="19">
      <calculatedColumnFormula>(B2-C2)/C2*100</calculatedColumnFormula>
    </tableColumn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2F87B7C-B375-4920-AE09-D40554765B20}" name="Table525" displayName="Table525" ref="A61:E67" totalsRowShown="0" headerRowDxfId="18">
  <autoFilter ref="A61:E67" xr:uid="{52F87B7C-B375-4920-AE09-D40554765B20}"/>
  <tableColumns count="5">
    <tableColumn id="1" xr3:uid="{478B7B77-7E6F-4DA4-A84E-05197CF1F2EE}" name="metrika"/>
    <tableColumn id="2" xr3:uid="{53D1E856-312B-4370-9DDF-45B9B901AC6F}" name="GuillotineStrip" dataDxfId="17"/>
    <tableColumn id="3" xr3:uid="{26C391D3-85D6-4BC4-BEA9-08EC707E6BE4}" name="referenca" dataDxfId="16"/>
    <tableColumn id="4" xr3:uid="{C29F076B-678B-4EB5-A644-12C64DAAC1F1}" name="razlika" dataDxfId="15">
      <calculatedColumnFormula>B62-C62</calculatedColumnFormula>
    </tableColumn>
    <tableColumn id="5" xr3:uid="{3823BA53-EB9C-4993-84DE-AD3D24D9AF51}" name="razlika_%" dataDxfId="14">
      <calculatedColumnFormula>(B62-C62)/C62*100</calculatedColumnFormula>
    </tableColumn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117430D-4D2D-4E4E-8391-A140CDC227BC}" name="Table526" displayName="Table526" ref="A120:E126" totalsRowShown="0" headerRowDxfId="13">
  <autoFilter ref="A120:E126" xr:uid="{7117430D-4D2D-4E4E-8391-A140CDC227BC}"/>
  <tableColumns count="5">
    <tableColumn id="1" xr3:uid="{ABF2CAD8-9931-42EE-AA4E-A382A533293E}" name="metrika"/>
    <tableColumn id="2" xr3:uid="{1FE9FB3D-D636-4700-A75D-2CB3EDE36964}" name="GuillotineStrip" dataDxfId="12"/>
    <tableColumn id="3" xr3:uid="{63040B42-4372-4116-A737-E60E2BAFBFEB}" name="referenca" dataDxfId="11"/>
    <tableColumn id="4" xr3:uid="{A5FF0636-7638-44F0-B826-8DD09A36C661}" name="razlika" dataDxfId="10">
      <calculatedColumnFormula>B121-C121</calculatedColumnFormula>
    </tableColumn>
    <tableColumn id="5" xr3:uid="{A788B839-6FB1-4220-9909-2622EFDC580F}" name="razlika_%" dataDxfId="9">
      <calculatedColumnFormula>(B121-C121)/C121*100</calculatedColumnFormula>
    </tableColumn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D74F00-9CCF-4155-810A-16171CA6D839}" name="Table6" displayName="Table6" ref="A9:D18" totalsRowShown="0" headerRowDxfId="8">
  <autoFilter ref="A9:D18" xr:uid="{0AD74F00-9CCF-4155-810A-16171CA6D839}"/>
  <tableColumns count="4">
    <tableColumn id="1" xr3:uid="{8F7F78BB-D7A5-49C9-A3E7-E8291C13C242}" name="metrika"/>
    <tableColumn id="2" xr3:uid="{00108C62-0765-4FA6-85C3-0501F7283A40}" name="najbolji" dataDxfId="7"/>
    <tableColumn id="3" xr3:uid="{00BE806D-79E6-445A-9EE7-16C85C72D0CB}" name="najgori" dataDxfId="6"/>
    <tableColumn id="4" xr3:uid="{F480A3AB-7BD0-4B60-960C-FD429E407CA1}" name="razlika">
      <calculatedColumnFormula>B10-C10</calculatedColumnFormula>
    </tableColumn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36B83F-B231-46FC-A741-6AD8EF8CAF2E}" name="Table640" displayName="Table640" ref="A69:D78" totalsRowShown="0" headerRowDxfId="5">
  <autoFilter ref="A69:D78" xr:uid="{0D36B83F-B231-46FC-A741-6AD8EF8CAF2E}"/>
  <tableColumns count="4">
    <tableColumn id="1" xr3:uid="{273EE0C5-CEAB-464D-BF1C-023BD0FAD24F}" name="metrika"/>
    <tableColumn id="2" xr3:uid="{378F9DE6-332C-427C-99B0-A81401418D68}" name="najbolji" dataDxfId="4"/>
    <tableColumn id="3" xr3:uid="{67250912-91E8-437A-A33F-5D650EA45681}" name="najgori" dataDxfId="3"/>
    <tableColumn id="4" xr3:uid="{BBE1A671-2078-4A8C-86BE-6EDAD890DB7F}" name="razlika">
      <calculatedColumnFormula>B70-C70</calculatedColumnFormula>
    </tableColumn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9935B54-F726-4CDB-A4CA-00F56C1F2362}" name="Table64041" displayName="Table64041" ref="A128:D137" totalsRowShown="0" headerRowDxfId="2">
  <autoFilter ref="A128:D137" xr:uid="{C9935B54-F726-4CDB-A4CA-00F56C1F2362}"/>
  <tableColumns count="4">
    <tableColumn id="1" xr3:uid="{D76C3742-8CCC-41CE-98D4-0A7AD34CA856}" name="metrika"/>
    <tableColumn id="2" xr3:uid="{B3FE7497-C782-449F-AAE3-6935732849A3}" name="najbolji" dataDxfId="1"/>
    <tableColumn id="3" xr3:uid="{71F4A75E-07D5-4082-A462-A69D5E9CC1A5}" name="najgori" dataDxfId="0"/>
    <tableColumn id="4" xr3:uid="{E032E1E1-96F1-47B4-8733-46EE6652C2FE}" name="razlika">
      <calculatedColumnFormula>B129-C129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2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3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4.xml"/><Relationship Id="rId4" Type="http://schemas.openxmlformats.org/officeDocument/2006/relationships/table" Target="../tables/table1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21.xml"/><Relationship Id="rId4" Type="http://schemas.openxmlformats.org/officeDocument/2006/relationships/table" Target="../tables/table2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O170"/>
  <sheetViews>
    <sheetView topLeftCell="A7" workbookViewId="0">
      <selection activeCell="B56" sqref="B56"/>
    </sheetView>
  </sheetViews>
  <sheetFormatPr defaultRowHeight="14.5" x14ac:dyDescent="0.35"/>
  <cols>
    <col min="1" max="1" width="13.1796875" customWidth="1"/>
    <col min="2" max="2" width="19.08984375" style="25" customWidth="1"/>
    <col min="3" max="3" width="16.6328125" style="25" customWidth="1"/>
    <col min="4" max="4" width="16.36328125" style="25" customWidth="1"/>
    <col min="5" max="5" width="16.1796875" style="25" customWidth="1"/>
    <col min="6" max="6" width="22.81640625" style="25" customWidth="1"/>
    <col min="7" max="7" width="23.90625" customWidth="1"/>
    <col min="8" max="8" width="23.36328125" customWidth="1"/>
    <col min="9" max="9" width="19" customWidth="1"/>
    <col min="10" max="10" width="2.54296875" customWidth="1"/>
    <col min="11" max="11" width="20.08984375" customWidth="1"/>
    <col min="12" max="12" width="2.6328125" customWidth="1"/>
    <col min="13" max="13" width="21.26953125" customWidth="1"/>
    <col min="14" max="14" width="3.6328125" customWidth="1"/>
    <col min="15" max="15" width="30.54296875" customWidth="1"/>
  </cols>
  <sheetData>
    <row r="1" spans="1:15" x14ac:dyDescent="0.3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4" t="s">
        <v>6</v>
      </c>
      <c r="H1" s="4" t="s">
        <v>7</v>
      </c>
      <c r="I1" s="4" t="s">
        <v>8</v>
      </c>
      <c r="J1" s="4" t="s">
        <v>83</v>
      </c>
      <c r="K1" s="4" t="s">
        <v>9</v>
      </c>
      <c r="L1" s="4" t="s">
        <v>82</v>
      </c>
      <c r="M1" s="4" t="s">
        <v>10</v>
      </c>
      <c r="N1" s="5" t="s">
        <v>81</v>
      </c>
      <c r="O1" s="4" t="s">
        <v>11</v>
      </c>
    </row>
    <row r="2" spans="1:15" x14ac:dyDescent="0.35">
      <c r="A2">
        <v>1</v>
      </c>
      <c r="B2" s="25">
        <v>95.24</v>
      </c>
      <c r="C2" s="25">
        <v>97.77</v>
      </c>
      <c r="D2" s="25">
        <v>96.75</v>
      </c>
      <c r="E2" s="25">
        <v>94.17</v>
      </c>
      <c r="F2" s="25">
        <v>85.98</v>
      </c>
      <c r="G2" s="10">
        <v>91740</v>
      </c>
      <c r="H2" s="10">
        <v>934804</v>
      </c>
      <c r="I2" s="8">
        <v>4</v>
      </c>
      <c r="J2" s="9"/>
      <c r="K2" s="7">
        <f>Table1[[#This Row],[total_efficiency]]/Table1[[#This Row],[execution_time_ms]]</f>
        <v>1.0381512971441029E-3</v>
      </c>
      <c r="L2" s="9"/>
      <c r="M2" s="7">
        <f>Table1[[#This Row],[total_waste_mm2]]/4</f>
        <v>233701</v>
      </c>
      <c r="N2" s="9"/>
      <c r="O2" s="10">
        <f>Table1[[#This Row],[sheet_3_eff]]-Table1[[#This Row],[last_sheet_true_eff]]</f>
        <v>8.1899999999999977</v>
      </c>
    </row>
    <row r="3" spans="1:15" x14ac:dyDescent="0.35">
      <c r="A3">
        <v>2</v>
      </c>
      <c r="B3" s="25">
        <v>95.13</v>
      </c>
      <c r="C3" s="25">
        <v>97.77</v>
      </c>
      <c r="D3" s="25">
        <v>96.57</v>
      </c>
      <c r="E3" s="25">
        <v>92.36</v>
      </c>
      <c r="F3" s="25">
        <v>91.15</v>
      </c>
      <c r="G3" s="10">
        <v>187938</v>
      </c>
      <c r="H3" s="10">
        <v>934804</v>
      </c>
      <c r="I3" s="8">
        <v>4</v>
      </c>
      <c r="J3" s="9"/>
      <c r="K3" s="7">
        <f>Table1[[#This Row],[total_efficiency]]/Table1[[#This Row],[execution_time_ms]]</f>
        <v>5.0617756919835264E-4</v>
      </c>
      <c r="L3" s="9"/>
      <c r="M3" s="7">
        <f>Table1[[#This Row],[total_waste_mm2]]/4</f>
        <v>233701</v>
      </c>
      <c r="N3" s="9"/>
      <c r="O3" s="10">
        <f>Table1[[#This Row],[sheet_3_eff]]-Table1[[#This Row],[last_sheet_true_eff]]</f>
        <v>1.2099999999999937</v>
      </c>
    </row>
    <row r="4" spans="1:15" x14ac:dyDescent="0.35">
      <c r="A4">
        <v>3</v>
      </c>
      <c r="B4" s="25">
        <v>95.45</v>
      </c>
      <c r="C4" s="25">
        <v>97.77</v>
      </c>
      <c r="D4" s="25">
        <v>96.08</v>
      </c>
      <c r="E4" s="25">
        <v>94.96</v>
      </c>
      <c r="F4" s="25">
        <v>87.61</v>
      </c>
      <c r="G4" s="10">
        <v>188765</v>
      </c>
      <c r="H4" s="10">
        <v>985024</v>
      </c>
      <c r="I4" s="8">
        <v>4</v>
      </c>
      <c r="J4" s="9"/>
      <c r="K4" s="7">
        <f>Table1[[#This Row],[total_efficiency]]/Table1[[#This Row],[execution_time_ms]]</f>
        <v>5.0565517972081693E-4</v>
      </c>
      <c r="L4" s="9"/>
      <c r="M4" s="7">
        <f>Table1[[#This Row],[total_waste_mm2]]/4</f>
        <v>246256</v>
      </c>
      <c r="N4" s="9"/>
      <c r="O4" s="10">
        <f>Table1[[#This Row],[sheet_3_eff]]-Table1[[#This Row],[last_sheet_true_eff]]</f>
        <v>7.3499999999999943</v>
      </c>
    </row>
    <row r="5" spans="1:15" x14ac:dyDescent="0.35">
      <c r="A5">
        <v>4</v>
      </c>
      <c r="B5" s="25">
        <v>94.17</v>
      </c>
      <c r="C5" s="25">
        <v>97.77</v>
      </c>
      <c r="D5" s="25">
        <v>95.98</v>
      </c>
      <c r="E5" s="25">
        <v>95.8</v>
      </c>
      <c r="F5" s="25">
        <v>74.540000000000006</v>
      </c>
      <c r="G5" s="10">
        <v>85793</v>
      </c>
      <c r="H5" s="10">
        <v>1155214</v>
      </c>
      <c r="I5" s="8">
        <v>4</v>
      </c>
      <c r="J5" s="9"/>
      <c r="K5" s="7">
        <f>Table1[[#This Row],[total_efficiency]]/Table1[[#This Row],[execution_time_ms]]</f>
        <v>1.0976419987644679E-3</v>
      </c>
      <c r="L5" s="9"/>
      <c r="M5" s="7">
        <f>Table1[[#This Row],[total_waste_mm2]]/4</f>
        <v>288803.5</v>
      </c>
      <c r="N5" s="9"/>
      <c r="O5" s="10">
        <f>Table1[[#This Row],[sheet_3_eff]]-Table1[[#This Row],[last_sheet_true_eff]]</f>
        <v>21.259999999999991</v>
      </c>
    </row>
    <row r="6" spans="1:15" x14ac:dyDescent="0.35">
      <c r="A6">
        <v>5</v>
      </c>
      <c r="B6" s="25">
        <v>95.12</v>
      </c>
      <c r="C6" s="25">
        <v>97.77</v>
      </c>
      <c r="D6" s="25">
        <v>96.42</v>
      </c>
      <c r="E6" s="25">
        <v>94.02</v>
      </c>
      <c r="F6" s="25">
        <v>86.38</v>
      </c>
      <c r="G6" s="10">
        <v>92514</v>
      </c>
      <c r="H6" s="10">
        <v>934804</v>
      </c>
      <c r="I6" s="8">
        <v>4</v>
      </c>
      <c r="J6" s="9"/>
      <c r="K6" s="7">
        <f>Table1[[#This Row],[total_efficiency]]/Table1[[#This Row],[execution_time_ms]]</f>
        <v>1.0281687096007092E-3</v>
      </c>
      <c r="L6" s="9"/>
      <c r="M6" s="7">
        <f>Table1[[#This Row],[total_waste_mm2]]/4</f>
        <v>233701</v>
      </c>
      <c r="N6" s="9"/>
      <c r="O6" s="10">
        <f>Table1[[#This Row],[sheet_3_eff]]-Table1[[#This Row],[last_sheet_true_eff]]</f>
        <v>7.6400000000000006</v>
      </c>
    </row>
    <row r="7" spans="1:15" x14ac:dyDescent="0.35">
      <c r="A7">
        <v>6</v>
      </c>
      <c r="B7" s="25">
        <v>94.4</v>
      </c>
      <c r="C7" s="25">
        <v>97.77</v>
      </c>
      <c r="D7" s="25">
        <v>96.35</v>
      </c>
      <c r="E7" s="25">
        <v>95.1</v>
      </c>
      <c r="F7" s="25">
        <v>77.3</v>
      </c>
      <c r="G7" s="10">
        <v>91662</v>
      </c>
      <c r="H7" s="10">
        <v>1104994</v>
      </c>
      <c r="I7" s="8">
        <v>4</v>
      </c>
      <c r="J7" s="9"/>
      <c r="K7" s="7">
        <f>Table1[[#This Row],[total_efficiency]]/Table1[[#This Row],[execution_time_ms]]</f>
        <v>1.0298706115947722E-3</v>
      </c>
      <c r="L7" s="9"/>
      <c r="M7" s="7">
        <f>Table1[[#This Row],[total_waste_mm2]]/4</f>
        <v>276248.5</v>
      </c>
      <c r="N7" s="9"/>
      <c r="O7" s="10">
        <f>Table1[[#This Row],[sheet_3_eff]]-Table1[[#This Row],[last_sheet_true_eff]]</f>
        <v>17.799999999999997</v>
      </c>
    </row>
    <row r="8" spans="1:15" x14ac:dyDescent="0.35">
      <c r="A8">
        <v>7</v>
      </c>
      <c r="B8" s="25">
        <v>93.86</v>
      </c>
      <c r="C8" s="25">
        <v>97.77</v>
      </c>
      <c r="D8" s="25">
        <v>95.78</v>
      </c>
      <c r="E8" s="25">
        <v>94.38</v>
      </c>
      <c r="F8" s="25">
        <v>76.7</v>
      </c>
      <c r="G8" s="10">
        <v>86366</v>
      </c>
      <c r="H8" s="10">
        <v>1205434</v>
      </c>
      <c r="I8" s="8">
        <v>4</v>
      </c>
      <c r="J8" s="9"/>
      <c r="K8" s="7">
        <f>Table1[[#This Row],[total_efficiency]]/Table1[[#This Row],[execution_time_ms]]</f>
        <v>1.086770256814024E-3</v>
      </c>
      <c r="L8" s="9"/>
      <c r="M8" s="7">
        <f>Table1[[#This Row],[total_waste_mm2]]/4</f>
        <v>301358.5</v>
      </c>
      <c r="N8" s="9"/>
      <c r="O8" s="10">
        <f>Table1[[#This Row],[sheet_3_eff]]-Table1[[#This Row],[last_sheet_true_eff]]</f>
        <v>17.679999999999993</v>
      </c>
    </row>
    <row r="9" spans="1:15" x14ac:dyDescent="0.35">
      <c r="A9">
        <v>8</v>
      </c>
      <c r="B9" s="25">
        <v>95.9</v>
      </c>
      <c r="C9" s="25">
        <v>97.77</v>
      </c>
      <c r="D9" s="25">
        <v>96.75</v>
      </c>
      <c r="E9" s="25">
        <v>95.36</v>
      </c>
      <c r="F9" s="25">
        <v>88.65</v>
      </c>
      <c r="G9" s="10">
        <v>86375</v>
      </c>
      <c r="H9" s="10">
        <v>884584</v>
      </c>
      <c r="I9" s="8">
        <v>4</v>
      </c>
      <c r="J9" s="9"/>
      <c r="K9" s="7">
        <f>Table1[[#This Row],[total_efficiency]]/Table1[[#This Row],[execution_time_ms]]</f>
        <v>1.1102749638205499E-3</v>
      </c>
      <c r="L9" s="9"/>
      <c r="M9" s="7">
        <f>Table1[[#This Row],[total_waste_mm2]]/4</f>
        <v>221146</v>
      </c>
      <c r="N9" s="9"/>
      <c r="O9" s="10">
        <f>Table1[[#This Row],[sheet_3_eff]]-Table1[[#This Row],[last_sheet_true_eff]]</f>
        <v>6.7099999999999937</v>
      </c>
    </row>
    <row r="10" spans="1:15" x14ac:dyDescent="0.35">
      <c r="A10">
        <v>9</v>
      </c>
      <c r="B10" s="25">
        <v>95.9</v>
      </c>
      <c r="C10" s="25">
        <v>97.77</v>
      </c>
      <c r="D10" s="25">
        <v>96.75</v>
      </c>
      <c r="E10" s="25">
        <v>95.36</v>
      </c>
      <c r="F10" s="25">
        <v>88.65</v>
      </c>
      <c r="G10" s="10">
        <v>86806</v>
      </c>
      <c r="H10" s="10">
        <v>884584</v>
      </c>
      <c r="I10" s="8">
        <v>4</v>
      </c>
      <c r="J10" s="9"/>
      <c r="K10" s="7">
        <f>Table1[[#This Row],[total_efficiency]]/Table1[[#This Row],[execution_time_ms]]</f>
        <v>1.1047623436168008E-3</v>
      </c>
      <c r="L10" s="9"/>
      <c r="M10" s="7">
        <f>Table1[[#This Row],[total_waste_mm2]]/4</f>
        <v>221146</v>
      </c>
      <c r="N10" s="9"/>
      <c r="O10" s="10">
        <f>Table1[[#This Row],[sheet_3_eff]]-Table1[[#This Row],[last_sheet_true_eff]]</f>
        <v>6.7099999999999937</v>
      </c>
    </row>
    <row r="11" spans="1:15" x14ac:dyDescent="0.35">
      <c r="A11">
        <v>10</v>
      </c>
      <c r="B11" s="25">
        <v>96.32</v>
      </c>
      <c r="C11" s="25">
        <v>97.77</v>
      </c>
      <c r="D11" s="25">
        <v>96.67</v>
      </c>
      <c r="E11" s="25">
        <v>95.14</v>
      </c>
      <c r="F11" s="25">
        <v>94.16</v>
      </c>
      <c r="G11" s="10">
        <v>86498</v>
      </c>
      <c r="H11" s="10">
        <v>733924</v>
      </c>
      <c r="I11" s="8">
        <v>4</v>
      </c>
      <c r="J11" s="9"/>
      <c r="K11" s="7">
        <f>Table1[[#This Row],[total_efficiency]]/Table1[[#This Row],[execution_time_ms]]</f>
        <v>1.1135517584221599E-3</v>
      </c>
      <c r="L11" s="9"/>
      <c r="M11" s="7">
        <f>Table1[[#This Row],[total_waste_mm2]]/4</f>
        <v>183481</v>
      </c>
      <c r="N11" s="9"/>
      <c r="O11" s="10">
        <f>Table1[[#This Row],[sheet_3_eff]]-Table1[[#This Row],[last_sheet_true_eff]]</f>
        <v>0.98000000000000398</v>
      </c>
    </row>
    <row r="12" spans="1:15" x14ac:dyDescent="0.35">
      <c r="A12">
        <v>11</v>
      </c>
      <c r="B12" s="25">
        <v>94.17</v>
      </c>
      <c r="C12" s="25">
        <v>97.77</v>
      </c>
      <c r="D12" s="25">
        <v>96.75</v>
      </c>
      <c r="E12" s="25">
        <v>94.33</v>
      </c>
      <c r="F12" s="25">
        <v>76.5</v>
      </c>
      <c r="G12" s="10">
        <v>86541</v>
      </c>
      <c r="H12" s="10">
        <v>1155214</v>
      </c>
      <c r="I12" s="8">
        <v>4</v>
      </c>
      <c r="J12" s="9"/>
      <c r="K12" s="7">
        <f>Table1[[#This Row],[total_efficiency]]/Table1[[#This Row],[execution_time_ms]]</f>
        <v>1.0881547474607411E-3</v>
      </c>
      <c r="L12" s="9"/>
      <c r="M12" s="7">
        <f>Table1[[#This Row],[total_waste_mm2]]/4</f>
        <v>288803.5</v>
      </c>
      <c r="N12" s="9"/>
      <c r="O12" s="10">
        <f>Table1[[#This Row],[sheet_3_eff]]-Table1[[#This Row],[last_sheet_true_eff]]</f>
        <v>17.829999999999998</v>
      </c>
    </row>
    <row r="13" spans="1:15" x14ac:dyDescent="0.35">
      <c r="A13">
        <v>12</v>
      </c>
      <c r="B13" s="25">
        <v>96.31</v>
      </c>
      <c r="C13" s="25">
        <v>97.77</v>
      </c>
      <c r="D13" s="25">
        <v>96.75</v>
      </c>
      <c r="E13" s="25">
        <v>95.1</v>
      </c>
      <c r="F13" s="25">
        <v>93.89</v>
      </c>
      <c r="G13" s="10">
        <v>86278</v>
      </c>
      <c r="H13" s="10">
        <v>1211014</v>
      </c>
      <c r="I13" s="8">
        <v>4</v>
      </c>
      <c r="J13" s="9"/>
      <c r="K13" s="7">
        <f>Table1[[#This Row],[total_efficiency]]/Table1[[#This Row],[execution_time_ms]]</f>
        <v>1.1162752961357473E-3</v>
      </c>
      <c r="L13" s="9"/>
      <c r="M13" s="7">
        <f>Table1[[#This Row],[total_waste_mm2]]/4</f>
        <v>302753.5</v>
      </c>
      <c r="N13" s="9"/>
      <c r="O13" s="10">
        <f>Table1[[#This Row],[sheet_3_eff]]-Table1[[#This Row],[last_sheet_true_eff]]</f>
        <v>1.2099999999999937</v>
      </c>
    </row>
    <row r="14" spans="1:15" x14ac:dyDescent="0.35">
      <c r="A14">
        <v>13</v>
      </c>
      <c r="B14" s="25">
        <v>96.31</v>
      </c>
      <c r="C14" s="25">
        <v>97.77</v>
      </c>
      <c r="D14" s="25">
        <v>96.75</v>
      </c>
      <c r="E14" s="25">
        <v>95.1</v>
      </c>
      <c r="F14" s="25">
        <v>93.89</v>
      </c>
      <c r="G14" s="10">
        <v>86061</v>
      </c>
      <c r="H14" s="10">
        <v>1211014</v>
      </c>
      <c r="I14" s="8">
        <v>4</v>
      </c>
      <c r="J14" s="9"/>
      <c r="K14" s="7">
        <f>Table1[[#This Row],[total_efficiency]]/Table1[[#This Row],[execution_time_ms]]</f>
        <v>1.1190899478277037E-3</v>
      </c>
      <c r="L14" s="9"/>
      <c r="M14" s="7">
        <f>Table1[[#This Row],[total_waste_mm2]]/4</f>
        <v>302753.5</v>
      </c>
      <c r="N14" s="9"/>
      <c r="O14" s="10">
        <f>Table1[[#This Row],[sheet_3_eff]]-Table1[[#This Row],[last_sheet_true_eff]]</f>
        <v>1.2099999999999937</v>
      </c>
    </row>
    <row r="15" spans="1:15" x14ac:dyDescent="0.35">
      <c r="A15">
        <v>14</v>
      </c>
      <c r="B15" s="25">
        <v>95.35</v>
      </c>
      <c r="C15" s="25">
        <v>97.77</v>
      </c>
      <c r="D15" s="25">
        <v>96.02</v>
      </c>
      <c r="E15" s="25">
        <v>96.08</v>
      </c>
      <c r="F15" s="25">
        <v>83.3</v>
      </c>
      <c r="G15" s="10">
        <v>183913</v>
      </c>
      <c r="H15" s="10">
        <v>887374</v>
      </c>
      <c r="I15" s="8">
        <v>4</v>
      </c>
      <c r="J15" s="9"/>
      <c r="K15" s="7">
        <f>Table1[[#This Row],[total_efficiency]]/Table1[[#This Row],[execution_time_ms]]</f>
        <v>5.1845165920842999E-4</v>
      </c>
      <c r="L15" s="9"/>
      <c r="M15" s="7">
        <f>Table1[[#This Row],[total_waste_mm2]]/4</f>
        <v>221843.5</v>
      </c>
      <c r="N15" s="9"/>
      <c r="O15" s="10">
        <f>Table1[[#This Row],[sheet_3_eff]]-Table1[[#This Row],[last_sheet_true_eff]]</f>
        <v>12.780000000000001</v>
      </c>
    </row>
    <row r="16" spans="1:15" x14ac:dyDescent="0.35">
      <c r="A16">
        <v>15</v>
      </c>
      <c r="B16" s="25">
        <v>95.31</v>
      </c>
      <c r="C16" s="25">
        <v>97.77</v>
      </c>
      <c r="D16" s="25">
        <v>96.56</v>
      </c>
      <c r="E16" s="25">
        <v>93.78</v>
      </c>
      <c r="F16" s="25">
        <v>88.52</v>
      </c>
      <c r="G16" s="10">
        <v>92309</v>
      </c>
      <c r="H16" s="10">
        <v>934804</v>
      </c>
      <c r="I16" s="8">
        <v>4</v>
      </c>
      <c r="J16" s="9"/>
      <c r="K16" s="7">
        <f>Table1[[#This Row],[total_efficiency]]/Table1[[#This Row],[execution_time_ms]]</f>
        <v>1.0325103727697191E-3</v>
      </c>
      <c r="L16" s="9"/>
      <c r="M16" s="7">
        <f>Table1[[#This Row],[total_waste_mm2]]/4</f>
        <v>233701</v>
      </c>
      <c r="N16" s="9"/>
      <c r="O16" s="10">
        <f>Table1[[#This Row],[sheet_3_eff]]-Table1[[#This Row],[last_sheet_true_eff]]</f>
        <v>5.2600000000000051</v>
      </c>
    </row>
    <row r="17" spans="1:15" x14ac:dyDescent="0.35">
      <c r="A17">
        <v>16</v>
      </c>
      <c r="B17" s="25">
        <v>94.83</v>
      </c>
      <c r="C17" s="25">
        <v>97.4</v>
      </c>
      <c r="D17" s="25">
        <v>96.31</v>
      </c>
      <c r="E17" s="25">
        <v>96.06</v>
      </c>
      <c r="F17" s="25">
        <v>79.12</v>
      </c>
      <c r="G17" s="10">
        <v>88684</v>
      </c>
      <c r="H17" s="10">
        <v>1138474</v>
      </c>
      <c r="I17" s="8">
        <v>4</v>
      </c>
      <c r="J17" s="9"/>
      <c r="K17" s="7">
        <f>Table1[[#This Row],[total_efficiency]]/Table1[[#This Row],[execution_time_ms]]</f>
        <v>1.0693022416670426E-3</v>
      </c>
      <c r="L17" s="9"/>
      <c r="M17" s="7">
        <f>Table1[[#This Row],[total_waste_mm2]]/4</f>
        <v>284618.5</v>
      </c>
      <c r="N17" s="9"/>
      <c r="O17" s="10">
        <f>Table1[[#This Row],[sheet_3_eff]]-Table1[[#This Row],[last_sheet_true_eff]]</f>
        <v>16.939999999999998</v>
      </c>
    </row>
    <row r="18" spans="1:15" x14ac:dyDescent="0.35">
      <c r="A18">
        <v>17</v>
      </c>
      <c r="B18" s="25">
        <v>95.15</v>
      </c>
      <c r="C18" s="25">
        <v>97.77</v>
      </c>
      <c r="D18" s="25">
        <v>95.91</v>
      </c>
      <c r="E18" s="25">
        <v>93.62</v>
      </c>
      <c r="F18" s="25">
        <v>89.43</v>
      </c>
      <c r="G18" s="10">
        <v>93069</v>
      </c>
      <c r="H18" s="10">
        <v>934804</v>
      </c>
      <c r="I18" s="8">
        <v>4</v>
      </c>
      <c r="J18" s="9"/>
      <c r="K18" s="7">
        <f>Table1[[#This Row],[total_efficiency]]/Table1[[#This Row],[execution_time_ms]]</f>
        <v>1.0223597545906801E-3</v>
      </c>
      <c r="L18" s="9"/>
      <c r="M18" s="7">
        <f>Table1[[#This Row],[total_waste_mm2]]/4</f>
        <v>233701</v>
      </c>
      <c r="N18" s="9"/>
      <c r="O18" s="10">
        <f>Table1[[#This Row],[sheet_3_eff]]-Table1[[#This Row],[last_sheet_true_eff]]</f>
        <v>4.1899999999999977</v>
      </c>
    </row>
    <row r="19" spans="1:15" x14ac:dyDescent="0.35">
      <c r="A19">
        <v>18</v>
      </c>
      <c r="B19" s="25">
        <v>95.16</v>
      </c>
      <c r="C19" s="25">
        <v>97.75</v>
      </c>
      <c r="D19" s="25">
        <v>96.78</v>
      </c>
      <c r="E19" s="25">
        <v>94.52</v>
      </c>
      <c r="F19" s="25">
        <v>84.17</v>
      </c>
      <c r="G19" s="10">
        <v>91677</v>
      </c>
      <c r="H19" s="10">
        <v>934804</v>
      </c>
      <c r="I19" s="8">
        <v>4</v>
      </c>
      <c r="J19" s="9"/>
      <c r="K19" s="7">
        <f>Table1[[#This Row],[total_efficiency]]/Table1[[#This Row],[execution_time_ms]]</f>
        <v>1.0379920808926994E-3</v>
      </c>
      <c r="L19" s="9"/>
      <c r="M19" s="7">
        <f>Table1[[#This Row],[total_waste_mm2]]/4</f>
        <v>233701</v>
      </c>
      <c r="N19" s="9"/>
      <c r="O19" s="10">
        <f>Table1[[#This Row],[sheet_3_eff]]-Table1[[#This Row],[last_sheet_true_eff]]</f>
        <v>10.349999999999994</v>
      </c>
    </row>
    <row r="20" spans="1:15" x14ac:dyDescent="0.35">
      <c r="A20">
        <v>19</v>
      </c>
      <c r="B20" s="25">
        <v>95.1</v>
      </c>
      <c r="C20" s="25">
        <v>97.77</v>
      </c>
      <c r="D20" s="25">
        <v>95.8</v>
      </c>
      <c r="E20" s="25">
        <v>94.69</v>
      </c>
      <c r="F20" s="25">
        <v>86.01</v>
      </c>
      <c r="G20" s="10">
        <v>94971</v>
      </c>
      <c r="H20" s="10">
        <v>1160794</v>
      </c>
      <c r="I20" s="8">
        <v>4</v>
      </c>
      <c r="J20" s="9"/>
      <c r="K20" s="7">
        <f>Table1[[#This Row],[total_efficiency]]/Table1[[#This Row],[execution_time_ms]]</f>
        <v>1.0013583093786524E-3</v>
      </c>
      <c r="L20" s="9"/>
      <c r="M20" s="7">
        <f>Table1[[#This Row],[total_waste_mm2]]/4</f>
        <v>290198.5</v>
      </c>
      <c r="N20" s="9"/>
      <c r="O20" s="10">
        <f>Table1[[#This Row],[sheet_3_eff]]-Table1[[#This Row],[last_sheet_true_eff]]</f>
        <v>8.6799999999999926</v>
      </c>
    </row>
    <row r="21" spans="1:15" x14ac:dyDescent="0.35">
      <c r="A21">
        <v>20</v>
      </c>
      <c r="B21" s="25">
        <v>95.9</v>
      </c>
      <c r="C21" s="25">
        <v>97.77</v>
      </c>
      <c r="D21" s="25">
        <v>96.75</v>
      </c>
      <c r="E21" s="25">
        <v>95.36</v>
      </c>
      <c r="F21" s="25">
        <v>88.65</v>
      </c>
      <c r="G21" s="10">
        <v>86867</v>
      </c>
      <c r="H21" s="10">
        <v>884584</v>
      </c>
      <c r="I21" s="8">
        <v>4</v>
      </c>
      <c r="J21" s="9"/>
      <c r="K21" s="7">
        <f>Table1[[#This Row],[total_efficiency]]/Table1[[#This Row],[execution_time_ms]]</f>
        <v>1.1039865541575052E-3</v>
      </c>
      <c r="L21" s="9"/>
      <c r="M21" s="7">
        <f>Table1[[#This Row],[total_waste_mm2]]/4</f>
        <v>221146</v>
      </c>
      <c r="N21" s="9"/>
      <c r="O21" s="10">
        <f>Table1[[#This Row],[sheet_3_eff]]-Table1[[#This Row],[last_sheet_true_eff]]</f>
        <v>6.7099999999999937</v>
      </c>
    </row>
    <row r="22" spans="1:15" x14ac:dyDescent="0.35">
      <c r="A22">
        <v>21</v>
      </c>
      <c r="B22" s="25">
        <v>94.47</v>
      </c>
      <c r="C22" s="25">
        <v>97.77</v>
      </c>
      <c r="D22" s="25">
        <v>96.89</v>
      </c>
      <c r="E22" s="25">
        <v>94.97</v>
      </c>
      <c r="F22" s="25">
        <v>76.63</v>
      </c>
      <c r="G22" s="10">
        <v>91490</v>
      </c>
      <c r="H22" s="10">
        <v>1104994</v>
      </c>
      <c r="I22" s="8">
        <v>4</v>
      </c>
      <c r="J22" s="9"/>
      <c r="K22" s="7">
        <f>Table1[[#This Row],[total_efficiency]]/Table1[[#This Row],[execution_time_ms]]</f>
        <v>1.0325718657776806E-3</v>
      </c>
      <c r="L22" s="9"/>
      <c r="M22" s="7">
        <f>Table1[[#This Row],[total_waste_mm2]]/4</f>
        <v>276248.5</v>
      </c>
      <c r="N22" s="9"/>
      <c r="O22" s="10">
        <f>Table1[[#This Row],[sheet_3_eff]]-Table1[[#This Row],[last_sheet_true_eff]]</f>
        <v>18.340000000000003</v>
      </c>
    </row>
    <row r="23" spans="1:15" x14ac:dyDescent="0.35">
      <c r="A23">
        <v>22</v>
      </c>
      <c r="B23" s="25">
        <v>95.04</v>
      </c>
      <c r="C23" s="25">
        <v>97.77</v>
      </c>
      <c r="D23" s="25">
        <v>96.16</v>
      </c>
      <c r="E23" s="25">
        <v>93.7</v>
      </c>
      <c r="F23" s="25">
        <v>87.44</v>
      </c>
      <c r="G23" s="10">
        <v>87438</v>
      </c>
      <c r="H23" s="10">
        <v>1205434</v>
      </c>
      <c r="I23" s="8">
        <v>4</v>
      </c>
      <c r="J23" s="9"/>
      <c r="K23" s="7">
        <f>Table1[[#This Row],[total_efficiency]]/Table1[[#This Row],[execution_time_ms]]</f>
        <v>1.0869416043367873E-3</v>
      </c>
      <c r="L23" s="9"/>
      <c r="M23" s="7">
        <f>Table1[[#This Row],[total_waste_mm2]]/4</f>
        <v>301358.5</v>
      </c>
      <c r="N23" s="9"/>
      <c r="O23" s="10">
        <f>Table1[[#This Row],[sheet_3_eff]]-Table1[[#This Row],[last_sheet_true_eff]]</f>
        <v>6.2600000000000051</v>
      </c>
    </row>
    <row r="24" spans="1:15" x14ac:dyDescent="0.35">
      <c r="A24">
        <v>23</v>
      </c>
      <c r="B24" s="25">
        <v>96.42</v>
      </c>
      <c r="C24" s="25">
        <v>97.62</v>
      </c>
      <c r="D24" s="25">
        <v>96.75</v>
      </c>
      <c r="E24" s="25">
        <v>96.89</v>
      </c>
      <c r="F24" s="25">
        <v>89.3</v>
      </c>
      <c r="G24" s="10">
        <v>88328</v>
      </c>
      <c r="H24" s="10">
        <v>697654</v>
      </c>
      <c r="I24" s="8">
        <v>4</v>
      </c>
      <c r="J24" s="9"/>
      <c r="K24" s="7">
        <f>Table1[[#This Row],[total_efficiency]]/Table1[[#This Row],[execution_time_ms]]</f>
        <v>1.091613078525496E-3</v>
      </c>
      <c r="L24" s="9"/>
      <c r="M24" s="7">
        <f>Table1[[#This Row],[total_waste_mm2]]/4</f>
        <v>174413.5</v>
      </c>
      <c r="N24" s="9"/>
      <c r="O24" s="10">
        <f>Table1[[#This Row],[sheet_3_eff]]-Table1[[#This Row],[last_sheet_true_eff]]</f>
        <v>7.5900000000000034</v>
      </c>
    </row>
    <row r="25" spans="1:15" x14ac:dyDescent="0.35">
      <c r="A25">
        <v>24</v>
      </c>
      <c r="B25" s="25">
        <v>95.21</v>
      </c>
      <c r="C25" s="25">
        <v>97.77</v>
      </c>
      <c r="D25" s="25">
        <v>96.06</v>
      </c>
      <c r="E25" s="25">
        <v>94.67</v>
      </c>
      <c r="F25" s="25">
        <v>86.31</v>
      </c>
      <c r="G25" s="10">
        <v>196476</v>
      </c>
      <c r="H25" s="10">
        <v>934804</v>
      </c>
      <c r="I25" s="8">
        <v>4</v>
      </c>
      <c r="J25" s="9"/>
      <c r="K25" s="7">
        <f>Table1[[#This Row],[total_efficiency]]/Table1[[#This Row],[execution_time_ms]]</f>
        <v>4.8458844846189863E-4</v>
      </c>
      <c r="L25" s="9"/>
      <c r="M25" s="7">
        <f>Table1[[#This Row],[total_waste_mm2]]/4</f>
        <v>233701</v>
      </c>
      <c r="N25" s="9"/>
      <c r="O25" s="10">
        <f>Table1[[#This Row],[sheet_3_eff]]-Table1[[#This Row],[last_sheet_true_eff]]</f>
        <v>8.36</v>
      </c>
    </row>
    <row r="26" spans="1:15" x14ac:dyDescent="0.35">
      <c r="A26">
        <v>25</v>
      </c>
      <c r="B26" s="25">
        <v>95.22</v>
      </c>
      <c r="C26" s="25">
        <v>97.77</v>
      </c>
      <c r="D26" s="25">
        <v>96.01</v>
      </c>
      <c r="E26" s="25">
        <v>93.72</v>
      </c>
      <c r="F26" s="25">
        <v>89.54</v>
      </c>
      <c r="G26" s="10">
        <v>105034</v>
      </c>
      <c r="H26" s="10">
        <v>929224</v>
      </c>
      <c r="I26" s="8">
        <v>4</v>
      </c>
      <c r="J26" s="9"/>
      <c r="K26" s="7">
        <f>Table1[[#This Row],[total_efficiency]]/Table1[[#This Row],[execution_time_ms]]</f>
        <v>9.0656358893310735E-4</v>
      </c>
      <c r="L26" s="9"/>
      <c r="M26" s="7">
        <f>Table1[[#This Row],[total_waste_mm2]]/4</f>
        <v>232306</v>
      </c>
      <c r="N26" s="9"/>
      <c r="O26" s="10">
        <f>Table1[[#This Row],[sheet_3_eff]]-Table1[[#This Row],[last_sheet_true_eff]]</f>
        <v>4.1799999999999926</v>
      </c>
    </row>
    <row r="27" spans="1:15" x14ac:dyDescent="0.35">
      <c r="A27">
        <v>26</v>
      </c>
      <c r="B27" s="25">
        <v>95.52</v>
      </c>
      <c r="C27" s="25">
        <v>97.77</v>
      </c>
      <c r="D27" s="25">
        <v>96.28</v>
      </c>
      <c r="E27" s="25">
        <v>93.66</v>
      </c>
      <c r="F27" s="25">
        <v>91.84</v>
      </c>
      <c r="G27" s="10">
        <v>211016</v>
      </c>
      <c r="H27" s="10">
        <v>859474</v>
      </c>
      <c r="I27" s="8">
        <v>4</v>
      </c>
      <c r="J27" s="9"/>
      <c r="K27" s="7">
        <f>Table1[[#This Row],[total_efficiency]]/Table1[[#This Row],[execution_time_ms]]</f>
        <v>4.5266709633392724E-4</v>
      </c>
      <c r="L27" s="9"/>
      <c r="M27" s="7">
        <f>Table1[[#This Row],[total_waste_mm2]]/4</f>
        <v>214868.5</v>
      </c>
      <c r="N27" s="9"/>
      <c r="O27" s="10">
        <f>Table1[[#This Row],[sheet_3_eff]]-Table1[[#This Row],[last_sheet_true_eff]]</f>
        <v>1.8199999999999932</v>
      </c>
    </row>
    <row r="28" spans="1:15" x14ac:dyDescent="0.35">
      <c r="A28">
        <v>27</v>
      </c>
      <c r="B28" s="25">
        <v>93.72</v>
      </c>
      <c r="C28" s="25">
        <v>97.77</v>
      </c>
      <c r="D28" s="25">
        <v>95.88</v>
      </c>
      <c r="E28" s="25">
        <v>92.87</v>
      </c>
      <c r="F28" s="25">
        <v>79.400000000000006</v>
      </c>
      <c r="G28" s="10">
        <v>94963</v>
      </c>
      <c r="H28" s="10">
        <v>1238914</v>
      </c>
      <c r="I28" s="8">
        <v>4</v>
      </c>
      <c r="J28" s="9"/>
      <c r="K28" s="7">
        <f>Table1[[#This Row],[total_efficiency]]/Table1[[#This Row],[execution_time_ms]]</f>
        <v>9.8691069153249156E-4</v>
      </c>
      <c r="L28" s="9"/>
      <c r="M28" s="7">
        <f>Table1[[#This Row],[total_waste_mm2]]/4</f>
        <v>309728.5</v>
      </c>
      <c r="N28" s="9"/>
      <c r="O28" s="10">
        <f>Table1[[#This Row],[sheet_3_eff]]-Table1[[#This Row],[last_sheet_true_eff]]</f>
        <v>13.469999999999999</v>
      </c>
    </row>
    <row r="29" spans="1:15" x14ac:dyDescent="0.35">
      <c r="A29">
        <v>28</v>
      </c>
      <c r="B29" s="25">
        <v>95.9</v>
      </c>
      <c r="C29" s="25">
        <v>97.77</v>
      </c>
      <c r="D29" s="25">
        <v>96.75</v>
      </c>
      <c r="E29" s="25">
        <v>95.36</v>
      </c>
      <c r="F29" s="25">
        <v>88.65</v>
      </c>
      <c r="G29" s="10">
        <v>86284</v>
      </c>
      <c r="H29" s="10">
        <v>884584</v>
      </c>
      <c r="I29" s="8">
        <v>4</v>
      </c>
      <c r="J29" s="9"/>
      <c r="K29" s="7">
        <f>Table1[[#This Row],[total_efficiency]]/Table1[[#This Row],[execution_time_ms]]</f>
        <v>1.1114459227666775E-3</v>
      </c>
      <c r="L29" s="9"/>
      <c r="M29" s="7">
        <f>Table1[[#This Row],[total_waste_mm2]]/4</f>
        <v>221146</v>
      </c>
      <c r="N29" s="9"/>
      <c r="O29" s="10">
        <f>Table1[[#This Row],[sheet_3_eff]]-Table1[[#This Row],[last_sheet_true_eff]]</f>
        <v>6.7099999999999937</v>
      </c>
    </row>
    <row r="30" spans="1:15" x14ac:dyDescent="0.35">
      <c r="A30">
        <v>29</v>
      </c>
      <c r="B30" s="25">
        <v>95.35</v>
      </c>
      <c r="C30" s="25">
        <v>97.77</v>
      </c>
      <c r="D30" s="25">
        <v>96.38</v>
      </c>
      <c r="E30" s="25">
        <v>94.19</v>
      </c>
      <c r="F30" s="25">
        <v>88.15</v>
      </c>
      <c r="G30" s="10">
        <v>91413</v>
      </c>
      <c r="H30" s="10">
        <v>934804</v>
      </c>
      <c r="I30" s="8">
        <v>4</v>
      </c>
      <c r="J30" s="9"/>
      <c r="K30" s="7">
        <f>Table1[[#This Row],[total_efficiency]]/Table1[[#This Row],[execution_time_ms]]</f>
        <v>1.0430682725651712E-3</v>
      </c>
      <c r="L30" s="9"/>
      <c r="M30" s="7">
        <f>Table1[[#This Row],[total_waste_mm2]]/4</f>
        <v>233701</v>
      </c>
      <c r="N30" s="9"/>
      <c r="O30" s="10">
        <f>Table1[[#This Row],[sheet_3_eff]]-Table1[[#This Row],[last_sheet_true_eff]]</f>
        <v>6.039999999999992</v>
      </c>
    </row>
    <row r="31" spans="1:15" x14ac:dyDescent="0.35">
      <c r="A31">
        <v>30</v>
      </c>
      <c r="B31" s="25">
        <v>94.01</v>
      </c>
      <c r="C31" s="25">
        <v>97.77</v>
      </c>
      <c r="D31" s="25">
        <v>96.09</v>
      </c>
      <c r="E31" s="25">
        <v>94.03</v>
      </c>
      <c r="F31" s="25">
        <v>77.94</v>
      </c>
      <c r="G31" s="10">
        <v>94446</v>
      </c>
      <c r="H31" s="10">
        <v>1389574</v>
      </c>
      <c r="I31" s="8">
        <v>4</v>
      </c>
      <c r="J31" s="9"/>
      <c r="K31" s="7">
        <f>Table1[[#This Row],[total_efficiency]]/Table1[[#This Row],[execution_time_ms]]</f>
        <v>9.9538360544649857E-4</v>
      </c>
      <c r="L31" s="9"/>
      <c r="M31" s="7">
        <f>Table1[[#This Row],[total_waste_mm2]]/4</f>
        <v>347393.5</v>
      </c>
      <c r="N31" s="9"/>
      <c r="O31" s="10">
        <f>Table1[[#This Row],[sheet_3_eff]]-Table1[[#This Row],[last_sheet_true_eff]]</f>
        <v>16.090000000000003</v>
      </c>
    </row>
    <row r="32" spans="1:15" x14ac:dyDescent="0.35">
      <c r="A32">
        <v>31</v>
      </c>
      <c r="B32" s="25">
        <v>96.42</v>
      </c>
      <c r="C32" s="25">
        <v>97.62</v>
      </c>
      <c r="D32" s="25">
        <v>96.75</v>
      </c>
      <c r="E32" s="25">
        <v>96.89</v>
      </c>
      <c r="F32" s="25">
        <v>89.3</v>
      </c>
      <c r="G32" s="10">
        <v>87679</v>
      </c>
      <c r="H32" s="10">
        <v>697654</v>
      </c>
      <c r="I32" s="8">
        <v>4</v>
      </c>
      <c r="J32" s="9"/>
      <c r="K32" s="7">
        <f>Table1[[#This Row],[total_efficiency]]/Table1[[#This Row],[execution_time_ms]]</f>
        <v>1.0996931990556462E-3</v>
      </c>
      <c r="L32" s="9"/>
      <c r="M32" s="7">
        <f>Table1[[#This Row],[total_waste_mm2]]/4</f>
        <v>174413.5</v>
      </c>
      <c r="N32" s="9"/>
      <c r="O32" s="10">
        <f>Table1[[#This Row],[sheet_3_eff]]-Table1[[#This Row],[last_sheet_true_eff]]</f>
        <v>7.5900000000000034</v>
      </c>
    </row>
    <row r="33" spans="1:15" x14ac:dyDescent="0.35">
      <c r="A33">
        <v>32</v>
      </c>
      <c r="B33" s="25">
        <v>94.1</v>
      </c>
      <c r="C33" s="25">
        <v>97.77</v>
      </c>
      <c r="D33" s="25">
        <v>96.49</v>
      </c>
      <c r="E33" s="25">
        <v>93.44</v>
      </c>
      <c r="F33" s="25">
        <v>79.150000000000006</v>
      </c>
      <c r="G33" s="10">
        <v>89401</v>
      </c>
      <c r="H33" s="10">
        <v>1205434</v>
      </c>
      <c r="I33" s="8">
        <v>4</v>
      </c>
      <c r="J33" s="9"/>
      <c r="K33" s="7">
        <f>Table1[[#This Row],[total_efficiency]]/Table1[[#This Row],[execution_time_ms]]</f>
        <v>1.0525609333228935E-3</v>
      </c>
      <c r="L33" s="9"/>
      <c r="M33" s="7">
        <f>Table1[[#This Row],[total_waste_mm2]]/4</f>
        <v>301358.5</v>
      </c>
      <c r="N33" s="9"/>
      <c r="O33" s="10">
        <f>Table1[[#This Row],[sheet_3_eff]]-Table1[[#This Row],[last_sheet_true_eff]]</f>
        <v>14.289999999999992</v>
      </c>
    </row>
    <row r="34" spans="1:15" x14ac:dyDescent="0.35">
      <c r="A34">
        <v>33</v>
      </c>
      <c r="B34" s="25">
        <v>95.9</v>
      </c>
      <c r="C34" s="25">
        <v>97.77</v>
      </c>
      <c r="D34" s="25">
        <v>96.75</v>
      </c>
      <c r="E34" s="25">
        <v>95.33</v>
      </c>
      <c r="F34" s="25">
        <v>88.74</v>
      </c>
      <c r="G34" s="10">
        <v>86360</v>
      </c>
      <c r="H34" s="10">
        <v>884584</v>
      </c>
      <c r="I34" s="8">
        <v>4</v>
      </c>
      <c r="J34" s="9"/>
      <c r="K34" s="7">
        <f>Table1[[#This Row],[total_efficiency]]/Table1[[#This Row],[execution_time_ms]]</f>
        <v>1.1104678091709125E-3</v>
      </c>
      <c r="L34" s="9"/>
      <c r="M34" s="7">
        <f>Table1[[#This Row],[total_waste_mm2]]/4</f>
        <v>221146</v>
      </c>
      <c r="N34" s="9"/>
      <c r="O34" s="10">
        <f>Table1[[#This Row],[sheet_3_eff]]-Table1[[#This Row],[last_sheet_true_eff]]</f>
        <v>6.5900000000000034</v>
      </c>
    </row>
    <row r="35" spans="1:15" x14ac:dyDescent="0.35">
      <c r="A35">
        <v>34</v>
      </c>
      <c r="B35" s="25">
        <v>93.68</v>
      </c>
      <c r="C35" s="25">
        <v>97.77</v>
      </c>
      <c r="D35" s="25">
        <v>96.56</v>
      </c>
      <c r="E35" s="25">
        <v>94.27</v>
      </c>
      <c r="F35" s="25">
        <v>73.59</v>
      </c>
      <c r="G35" s="10">
        <v>91189</v>
      </c>
      <c r="H35" s="10">
        <v>1389574</v>
      </c>
      <c r="I35" s="8">
        <v>4</v>
      </c>
      <c r="J35" s="9"/>
      <c r="K35" s="7">
        <f>Table1[[#This Row],[total_efficiency]]/Table1[[#This Row],[execution_time_ms]]</f>
        <v>1.0273168912917129E-3</v>
      </c>
      <c r="L35" s="9"/>
      <c r="M35" s="7">
        <f>Table1[[#This Row],[total_waste_mm2]]/4</f>
        <v>347393.5</v>
      </c>
      <c r="N35" s="9"/>
      <c r="O35" s="10">
        <f>Table1[[#This Row],[sheet_3_eff]]-Table1[[#This Row],[last_sheet_true_eff]]</f>
        <v>20.679999999999993</v>
      </c>
    </row>
    <row r="36" spans="1:15" x14ac:dyDescent="0.35">
      <c r="A36">
        <v>35</v>
      </c>
      <c r="B36" s="25">
        <v>95.08</v>
      </c>
      <c r="C36" s="25">
        <v>97.77</v>
      </c>
      <c r="D36" s="25">
        <v>95.82</v>
      </c>
      <c r="E36" s="25">
        <v>94.65</v>
      </c>
      <c r="F36" s="25">
        <v>85.96</v>
      </c>
      <c r="G36" s="10">
        <v>89484</v>
      </c>
      <c r="H36" s="10">
        <v>1138474</v>
      </c>
      <c r="I36" s="8">
        <v>4</v>
      </c>
      <c r="J36" s="9"/>
      <c r="K36" s="7">
        <f>Table1[[#This Row],[total_efficiency]]/Table1[[#This Row],[execution_time_ms]]</f>
        <v>1.0625363193420053E-3</v>
      </c>
      <c r="L36" s="9"/>
      <c r="M36" s="7">
        <f>Table1[[#This Row],[total_waste_mm2]]/4</f>
        <v>284618.5</v>
      </c>
      <c r="N36" s="9"/>
      <c r="O36" s="10">
        <f>Table1[[#This Row],[sheet_3_eff]]-Table1[[#This Row],[last_sheet_true_eff]]</f>
        <v>8.6900000000000119</v>
      </c>
    </row>
    <row r="37" spans="1:15" x14ac:dyDescent="0.35">
      <c r="A37">
        <v>36</v>
      </c>
      <c r="B37" s="25">
        <v>95.81</v>
      </c>
      <c r="C37" s="25">
        <v>97.77</v>
      </c>
      <c r="D37" s="25">
        <v>96.49</v>
      </c>
      <c r="E37" s="25">
        <v>95.25</v>
      </c>
      <c r="F37" s="25">
        <v>88.96</v>
      </c>
      <c r="G37" s="10">
        <v>84179</v>
      </c>
      <c r="H37" s="10">
        <v>887374</v>
      </c>
      <c r="I37" s="8">
        <v>4</v>
      </c>
      <c r="J37" s="9"/>
      <c r="K37" s="7">
        <f>Table1[[#This Row],[total_efficiency]]/Table1[[#This Row],[execution_time_ms]]</f>
        <v>1.1381698523384692E-3</v>
      </c>
      <c r="L37" s="9"/>
      <c r="M37" s="7">
        <f>Table1[[#This Row],[total_waste_mm2]]/4</f>
        <v>221843.5</v>
      </c>
      <c r="N37" s="9"/>
      <c r="O37" s="10">
        <f>Table1[[#This Row],[sheet_3_eff]]-Table1[[#This Row],[last_sheet_true_eff]]</f>
        <v>6.2900000000000063</v>
      </c>
    </row>
    <row r="38" spans="1:15" x14ac:dyDescent="0.35">
      <c r="A38">
        <v>37</v>
      </c>
      <c r="B38" s="25">
        <v>95.35</v>
      </c>
      <c r="C38" s="25">
        <v>97.77</v>
      </c>
      <c r="D38" s="25">
        <v>95.56</v>
      </c>
      <c r="E38" s="25">
        <v>94.2</v>
      </c>
      <c r="F38" s="25">
        <v>90.7</v>
      </c>
      <c r="G38" s="10">
        <v>88929</v>
      </c>
      <c r="H38" s="10">
        <v>934804</v>
      </c>
      <c r="I38" s="8">
        <v>4</v>
      </c>
      <c r="J38" s="9"/>
      <c r="K38" s="7">
        <f>Table1[[#This Row],[total_efficiency]]/Table1[[#This Row],[execution_time_ms]]</f>
        <v>1.0722036680947721E-3</v>
      </c>
      <c r="L38" s="9"/>
      <c r="M38" s="7">
        <f>Table1[[#This Row],[total_waste_mm2]]/4</f>
        <v>233701</v>
      </c>
      <c r="N38" s="9"/>
      <c r="O38" s="10">
        <f>Table1[[#This Row],[sheet_3_eff]]-Table1[[#This Row],[last_sheet_true_eff]]</f>
        <v>3.5</v>
      </c>
    </row>
    <row r="39" spans="1:15" x14ac:dyDescent="0.35">
      <c r="A39">
        <v>38</v>
      </c>
      <c r="B39" s="25">
        <v>94.37</v>
      </c>
      <c r="C39" s="25">
        <v>97.77</v>
      </c>
      <c r="D39" s="25">
        <v>96.12</v>
      </c>
      <c r="E39" s="25">
        <v>92.81</v>
      </c>
      <c r="F39" s="25">
        <v>84.2</v>
      </c>
      <c r="G39" s="10">
        <v>88661</v>
      </c>
      <c r="H39" s="10">
        <v>1205434</v>
      </c>
      <c r="I39" s="8">
        <v>4</v>
      </c>
      <c r="J39" s="9"/>
      <c r="K39" s="7">
        <f>Table1[[#This Row],[total_efficiency]]/Table1[[#This Row],[execution_time_ms]]</f>
        <v>1.0643913332806984E-3</v>
      </c>
      <c r="L39" s="9"/>
      <c r="M39" s="7">
        <f>Table1[[#This Row],[total_waste_mm2]]/4</f>
        <v>301358.5</v>
      </c>
      <c r="N39" s="9"/>
      <c r="O39" s="10">
        <f>Table1[[#This Row],[sheet_3_eff]]-Table1[[#This Row],[last_sheet_true_eff]]</f>
        <v>8.61</v>
      </c>
    </row>
    <row r="40" spans="1:15" x14ac:dyDescent="0.35">
      <c r="A40">
        <v>39</v>
      </c>
      <c r="B40" s="25">
        <v>95.35</v>
      </c>
      <c r="C40" s="25">
        <v>97.77</v>
      </c>
      <c r="D40" s="25">
        <v>95.82</v>
      </c>
      <c r="E40" s="25">
        <v>95.36</v>
      </c>
      <c r="F40" s="25">
        <v>86.21</v>
      </c>
      <c r="G40" s="10">
        <v>92346</v>
      </c>
      <c r="H40" s="10">
        <v>929224</v>
      </c>
      <c r="I40" s="8">
        <v>4</v>
      </c>
      <c r="J40" s="9"/>
      <c r="K40" s="7">
        <f>Table1[[#This Row],[total_efficiency]]/Table1[[#This Row],[execution_time_ms]]</f>
        <v>1.0325298334524504E-3</v>
      </c>
      <c r="L40" s="9"/>
      <c r="M40" s="7">
        <f>Table1[[#This Row],[total_waste_mm2]]/4</f>
        <v>232306</v>
      </c>
      <c r="N40" s="9"/>
      <c r="O40" s="10">
        <f>Table1[[#This Row],[sheet_3_eff]]-Table1[[#This Row],[last_sheet_true_eff]]</f>
        <v>9.1500000000000057</v>
      </c>
    </row>
    <row r="41" spans="1:15" x14ac:dyDescent="0.35">
      <c r="A41">
        <v>40</v>
      </c>
      <c r="B41" s="25">
        <v>93.98</v>
      </c>
      <c r="C41" s="25">
        <v>97.62</v>
      </c>
      <c r="D41" s="25">
        <v>96.69</v>
      </c>
      <c r="E41" s="25">
        <v>93.96</v>
      </c>
      <c r="F41" s="25">
        <v>76.680000000000007</v>
      </c>
      <c r="G41" s="10">
        <v>90810</v>
      </c>
      <c r="H41" s="10">
        <v>1205434</v>
      </c>
      <c r="I41" s="8">
        <v>4</v>
      </c>
      <c r="J41" s="9"/>
      <c r="K41" s="7">
        <f>Table1[[#This Row],[total_efficiency]]/Table1[[#This Row],[execution_time_ms]]</f>
        <v>1.0349080497742539E-3</v>
      </c>
      <c r="L41" s="9"/>
      <c r="M41" s="7">
        <f>Table1[[#This Row],[total_waste_mm2]]/4</f>
        <v>301358.5</v>
      </c>
      <c r="N41" s="9"/>
      <c r="O41" s="10">
        <f>Table1[[#This Row],[sheet_3_eff]]-Table1[[#This Row],[last_sheet_true_eff]]</f>
        <v>17.279999999999987</v>
      </c>
    </row>
    <row r="42" spans="1:15" x14ac:dyDescent="0.35">
      <c r="A42">
        <v>41</v>
      </c>
      <c r="B42" s="25">
        <v>95.62</v>
      </c>
      <c r="C42" s="25">
        <v>97.77</v>
      </c>
      <c r="D42" s="25">
        <v>95.97</v>
      </c>
      <c r="E42" s="25">
        <v>94.96</v>
      </c>
      <c r="F42" s="25">
        <v>89.64</v>
      </c>
      <c r="G42" s="10">
        <v>191054</v>
      </c>
      <c r="H42" s="10">
        <v>884584</v>
      </c>
      <c r="I42" s="8">
        <v>4</v>
      </c>
      <c r="J42" s="9"/>
      <c r="K42" s="7">
        <f>Table1[[#This Row],[total_efficiency]]/Table1[[#This Row],[execution_time_ms]]</f>
        <v>5.0048677337297316E-4</v>
      </c>
      <c r="L42" s="9"/>
      <c r="M42" s="7">
        <f>Table1[[#This Row],[total_waste_mm2]]/4</f>
        <v>221146</v>
      </c>
      <c r="N42" s="9"/>
      <c r="O42" s="10">
        <f>Table1[[#This Row],[sheet_3_eff]]-Table1[[#This Row],[last_sheet_true_eff]]</f>
        <v>5.3199999999999932</v>
      </c>
    </row>
    <row r="43" spans="1:15" x14ac:dyDescent="0.35">
      <c r="A43">
        <v>42</v>
      </c>
      <c r="B43" s="25">
        <v>94.78</v>
      </c>
      <c r="C43" s="25">
        <v>97.77</v>
      </c>
      <c r="D43" s="25">
        <v>95.8</v>
      </c>
      <c r="E43" s="25">
        <v>94.52</v>
      </c>
      <c r="F43" s="25">
        <v>83.69</v>
      </c>
      <c r="G43" s="10">
        <v>89940</v>
      </c>
      <c r="H43" s="10">
        <v>1138474</v>
      </c>
      <c r="I43" s="8">
        <v>4</v>
      </c>
      <c r="J43" s="9"/>
      <c r="K43" s="7">
        <f>Table1[[#This Row],[total_efficiency]]/Table1[[#This Row],[execution_time_ms]]</f>
        <v>1.0538136535468089E-3</v>
      </c>
      <c r="L43" s="9"/>
      <c r="M43" s="7">
        <f>Table1[[#This Row],[total_waste_mm2]]/4</f>
        <v>284618.5</v>
      </c>
      <c r="N43" s="9"/>
      <c r="O43" s="10">
        <f>Table1[[#This Row],[sheet_3_eff]]-Table1[[#This Row],[last_sheet_true_eff]]</f>
        <v>10.829999999999998</v>
      </c>
    </row>
    <row r="44" spans="1:15" x14ac:dyDescent="0.35">
      <c r="A44">
        <v>43</v>
      </c>
      <c r="B44" s="25">
        <v>94.01</v>
      </c>
      <c r="C44" s="25">
        <v>97.62</v>
      </c>
      <c r="D44" s="25">
        <v>96.62</v>
      </c>
      <c r="E44" s="25">
        <v>93.02</v>
      </c>
      <c r="F44" s="25">
        <v>79.66</v>
      </c>
      <c r="G44" s="10">
        <v>87769</v>
      </c>
      <c r="H44" s="10">
        <v>1205434</v>
      </c>
      <c r="I44" s="8">
        <v>4</v>
      </c>
      <c r="J44" s="9"/>
      <c r="K44" s="7">
        <f>Table1[[#This Row],[total_efficiency]]/Table1[[#This Row],[execution_time_ms]]</f>
        <v>1.0711071107110711E-3</v>
      </c>
      <c r="L44" s="9"/>
      <c r="M44" s="7">
        <f>Table1[[#This Row],[total_waste_mm2]]/4</f>
        <v>301358.5</v>
      </c>
      <c r="N44" s="9"/>
      <c r="O44" s="10">
        <f>Table1[[#This Row],[sheet_3_eff]]-Table1[[#This Row],[last_sheet_true_eff]]</f>
        <v>13.36</v>
      </c>
    </row>
    <row r="45" spans="1:15" x14ac:dyDescent="0.35">
      <c r="A45">
        <v>44</v>
      </c>
      <c r="B45" s="25">
        <v>94.56</v>
      </c>
      <c r="C45" s="25">
        <v>97.77</v>
      </c>
      <c r="D45" s="25">
        <v>95.91</v>
      </c>
      <c r="E45" s="25">
        <v>91.99</v>
      </c>
      <c r="F45" s="25">
        <v>88.78</v>
      </c>
      <c r="G45" s="10">
        <v>196969</v>
      </c>
      <c r="H45" s="10">
        <v>1051984</v>
      </c>
      <c r="I45" s="8">
        <v>4</v>
      </c>
      <c r="J45" s="9"/>
      <c r="K45" s="7">
        <f>Table1[[#This Row],[total_efficiency]]/Table1[[#This Row],[execution_time_ms]]</f>
        <v>4.8007554488269728E-4</v>
      </c>
      <c r="L45" s="9"/>
      <c r="M45" s="7">
        <f>Table1[[#This Row],[total_waste_mm2]]/4</f>
        <v>262996</v>
      </c>
      <c r="N45" s="9"/>
      <c r="O45" s="10">
        <f>Table1[[#This Row],[sheet_3_eff]]-Table1[[#This Row],[last_sheet_true_eff]]</f>
        <v>3.2099999999999937</v>
      </c>
    </row>
    <row r="46" spans="1:15" x14ac:dyDescent="0.35">
      <c r="A46">
        <v>45</v>
      </c>
      <c r="B46" s="25">
        <v>96.31</v>
      </c>
      <c r="C46" s="25">
        <v>97.77</v>
      </c>
      <c r="D46" s="25">
        <v>96.75</v>
      </c>
      <c r="E46" s="25">
        <v>95.1</v>
      </c>
      <c r="F46" s="25">
        <v>93.89</v>
      </c>
      <c r="G46" s="10">
        <v>91314</v>
      </c>
      <c r="H46" s="10">
        <v>1211014</v>
      </c>
      <c r="I46" s="8">
        <v>4</v>
      </c>
      <c r="J46" s="9"/>
      <c r="K46" s="7">
        <f>Table1[[#This Row],[total_efficiency]]/Table1[[#This Row],[execution_time_ms]]</f>
        <v>1.0547123113651795E-3</v>
      </c>
      <c r="L46" s="9"/>
      <c r="M46" s="7">
        <f>Table1[[#This Row],[total_waste_mm2]]/4</f>
        <v>302753.5</v>
      </c>
      <c r="N46" s="9"/>
      <c r="O46" s="10">
        <f>Table1[[#This Row],[sheet_3_eff]]-Table1[[#This Row],[last_sheet_true_eff]]</f>
        <v>1.2099999999999937</v>
      </c>
    </row>
    <row r="47" spans="1:15" x14ac:dyDescent="0.35">
      <c r="A47">
        <v>46</v>
      </c>
      <c r="B47" s="25">
        <v>95.18</v>
      </c>
      <c r="C47" s="25">
        <v>97.77</v>
      </c>
      <c r="D47" s="25">
        <v>96.56</v>
      </c>
      <c r="E47" s="25">
        <v>94.71</v>
      </c>
      <c r="F47" s="25">
        <v>84.34</v>
      </c>
      <c r="G47" s="10">
        <v>90073</v>
      </c>
      <c r="H47" s="10">
        <v>934804</v>
      </c>
      <c r="I47" s="8">
        <v>4</v>
      </c>
      <c r="J47" s="9"/>
      <c r="K47" s="7">
        <f>Table1[[#This Row],[total_efficiency]]/Table1[[#This Row],[execution_time_ms]]</f>
        <v>1.0566984556970459E-3</v>
      </c>
      <c r="L47" s="9"/>
      <c r="M47" s="7">
        <f>Table1[[#This Row],[total_waste_mm2]]/4</f>
        <v>233701</v>
      </c>
      <c r="N47" s="9"/>
      <c r="O47" s="10">
        <f>Table1[[#This Row],[sheet_3_eff]]-Table1[[#This Row],[last_sheet_true_eff]]</f>
        <v>10.36999999999999</v>
      </c>
    </row>
    <row r="48" spans="1:15" x14ac:dyDescent="0.35">
      <c r="A48">
        <v>47</v>
      </c>
      <c r="B48" s="25">
        <v>94.12</v>
      </c>
      <c r="C48" s="25">
        <v>97.77</v>
      </c>
      <c r="D48" s="25">
        <v>96.67</v>
      </c>
      <c r="E48" s="25">
        <v>94.47</v>
      </c>
      <c r="F48" s="25">
        <v>75.989999999999995</v>
      </c>
      <c r="G48" s="10">
        <v>96757</v>
      </c>
      <c r="H48" s="10">
        <v>1138474</v>
      </c>
      <c r="I48" s="8">
        <v>4</v>
      </c>
      <c r="J48" s="9"/>
      <c r="K48" s="7">
        <f>Table1[[#This Row],[total_efficiency]]/Table1[[#This Row],[execution_time_ms]]</f>
        <v>9.7274615790072041E-4</v>
      </c>
      <c r="L48" s="9"/>
      <c r="M48" s="7">
        <f>Table1[[#This Row],[total_waste_mm2]]/4</f>
        <v>284618.5</v>
      </c>
      <c r="N48" s="9"/>
      <c r="O48" s="10">
        <f>Table1[[#This Row],[sheet_3_eff]]-Table1[[#This Row],[last_sheet_true_eff]]</f>
        <v>18.480000000000004</v>
      </c>
    </row>
    <row r="49" spans="1:15" x14ac:dyDescent="0.35">
      <c r="A49">
        <v>48</v>
      </c>
      <c r="B49" s="25">
        <v>94.47</v>
      </c>
      <c r="C49" s="25">
        <v>97.77</v>
      </c>
      <c r="D49" s="25">
        <v>95.92</v>
      </c>
      <c r="E49" s="25">
        <v>93.25</v>
      </c>
      <c r="F49" s="25">
        <v>84.34</v>
      </c>
      <c r="G49" s="10">
        <v>193302</v>
      </c>
      <c r="H49" s="10">
        <v>1104994</v>
      </c>
      <c r="I49" s="8">
        <v>4</v>
      </c>
      <c r="J49" s="9"/>
      <c r="K49" s="7">
        <f>Table1[[#This Row],[total_efficiency]]/Table1[[#This Row],[execution_time_ms]]</f>
        <v>4.8871713691529318E-4</v>
      </c>
      <c r="L49" s="9"/>
      <c r="M49" s="7">
        <f>Table1[[#This Row],[total_waste_mm2]]/4</f>
        <v>276248.5</v>
      </c>
      <c r="N49" s="9"/>
      <c r="O49" s="10">
        <f>Table1[[#This Row],[sheet_3_eff]]-Table1[[#This Row],[last_sheet_true_eff]]</f>
        <v>8.9099999999999966</v>
      </c>
    </row>
    <row r="50" spans="1:15" x14ac:dyDescent="0.35">
      <c r="A50">
        <v>49</v>
      </c>
      <c r="B50" s="25">
        <v>95.25</v>
      </c>
      <c r="C50" s="25">
        <v>97.77</v>
      </c>
      <c r="D50" s="25">
        <v>96.57</v>
      </c>
      <c r="E50" s="25">
        <v>94.21</v>
      </c>
      <c r="F50" s="25">
        <v>86.58</v>
      </c>
      <c r="G50" s="10">
        <v>194868</v>
      </c>
      <c r="H50" s="10">
        <v>934804</v>
      </c>
      <c r="I50" s="8">
        <v>4</v>
      </c>
      <c r="J50" s="9"/>
      <c r="K50" s="7">
        <f>Table1[[#This Row],[total_efficiency]]/Table1[[#This Row],[execution_time_ms]]</f>
        <v>4.8879241332594372E-4</v>
      </c>
      <c r="L50" s="9"/>
      <c r="M50" s="7">
        <f>Table1[[#This Row],[total_waste_mm2]]/4</f>
        <v>233701</v>
      </c>
      <c r="N50" s="9"/>
      <c r="O50" s="10">
        <f>Table1[[#This Row],[sheet_3_eff]]-Table1[[#This Row],[last_sheet_true_eff]]</f>
        <v>7.6299999999999955</v>
      </c>
    </row>
    <row r="51" spans="1:15" x14ac:dyDescent="0.35">
      <c r="A51">
        <v>50</v>
      </c>
      <c r="B51" s="25">
        <v>95.19</v>
      </c>
      <c r="C51" s="25">
        <v>97.77</v>
      </c>
      <c r="D51" s="25">
        <v>96.12</v>
      </c>
      <c r="E51" s="25">
        <v>94.53</v>
      </c>
      <c r="F51" s="25">
        <v>86.4</v>
      </c>
      <c r="G51" s="10">
        <v>93221</v>
      </c>
      <c r="H51" s="10">
        <v>929224</v>
      </c>
      <c r="I51" s="8">
        <v>4</v>
      </c>
      <c r="J51" s="9"/>
      <c r="K51" s="7">
        <f>Table1[[#This Row],[total_efficiency]]/Table1[[#This Row],[execution_time_ms]]</f>
        <v>1.0211218502268803E-3</v>
      </c>
      <c r="L51" s="9"/>
      <c r="M51" s="7">
        <f>Table1[[#This Row],[total_waste_mm2]]/4</f>
        <v>232306</v>
      </c>
      <c r="N51" s="9"/>
      <c r="O51" s="10">
        <f>Table1[[#This Row],[sheet_3_eff]]-Table1[[#This Row],[last_sheet_true_eff]]</f>
        <v>8.1299999999999955</v>
      </c>
    </row>
    <row r="52" spans="1:15" x14ac:dyDescent="0.35">
      <c r="A52" s="69" t="s">
        <v>98</v>
      </c>
      <c r="B52" s="69"/>
      <c r="C52" s="22"/>
      <c r="D52" s="22"/>
      <c r="E52" s="22"/>
      <c r="F52" s="22"/>
      <c r="G52" s="18"/>
      <c r="H52" s="18"/>
      <c r="I52" s="18"/>
      <c r="J52" s="18"/>
      <c r="K52" s="18"/>
      <c r="L52" s="18"/>
      <c r="M52" s="18"/>
      <c r="N52" s="18"/>
      <c r="O52" s="18"/>
    </row>
    <row r="53" spans="1:15" x14ac:dyDescent="0.35">
      <c r="A53" s="69"/>
      <c r="B53" s="69"/>
      <c r="C53" s="22"/>
      <c r="D53" s="22"/>
      <c r="E53" s="22"/>
      <c r="F53" s="22"/>
      <c r="G53" s="18"/>
      <c r="H53" s="18"/>
      <c r="I53" s="18"/>
      <c r="J53" s="18"/>
      <c r="K53" s="18"/>
      <c r="L53" s="18"/>
      <c r="M53" s="18"/>
      <c r="N53" s="18"/>
      <c r="O53" s="18"/>
    </row>
    <row r="54" spans="1:15" x14ac:dyDescent="0.35">
      <c r="A54" s="19"/>
      <c r="B54" s="23"/>
      <c r="C54" s="23"/>
      <c r="D54" s="23"/>
      <c r="E54" s="23"/>
      <c r="F54" s="23"/>
      <c r="G54" s="19"/>
      <c r="H54" s="19"/>
      <c r="I54" s="19"/>
      <c r="J54" s="19"/>
      <c r="K54" s="19"/>
      <c r="L54" s="19"/>
      <c r="M54" s="19"/>
      <c r="N54" s="19"/>
      <c r="O54" s="19"/>
    </row>
    <row r="55" spans="1:15" x14ac:dyDescent="0.35">
      <c r="A55" s="19"/>
      <c r="B55" s="23"/>
      <c r="C55" s="23"/>
      <c r="D55" s="23"/>
      <c r="E55" s="23"/>
      <c r="F55" s="23"/>
      <c r="G55" s="19"/>
      <c r="H55" s="19"/>
      <c r="I55" s="19"/>
      <c r="J55" s="19"/>
      <c r="K55" s="19"/>
      <c r="L55" s="19"/>
      <c r="M55" s="19"/>
      <c r="N55" s="19"/>
      <c r="O55" s="19"/>
    </row>
    <row r="56" spans="1:15" x14ac:dyDescent="0.35">
      <c r="A56" s="19"/>
      <c r="B56" s="23"/>
      <c r="C56" s="23"/>
      <c r="D56" s="23"/>
      <c r="E56" s="23"/>
      <c r="F56" s="23"/>
      <c r="G56" s="19"/>
      <c r="H56" s="19"/>
      <c r="I56" s="19"/>
      <c r="J56" s="19"/>
      <c r="K56" s="19"/>
      <c r="L56" s="19"/>
      <c r="M56" s="19"/>
      <c r="N56" s="19"/>
      <c r="O56" s="19"/>
    </row>
    <row r="57" spans="1:15" x14ac:dyDescent="0.35">
      <c r="A57" s="19"/>
      <c r="B57" s="23"/>
      <c r="C57" s="23"/>
      <c r="D57" s="23"/>
      <c r="E57" s="23"/>
      <c r="F57" s="23"/>
      <c r="G57" s="19"/>
      <c r="H57" s="19"/>
      <c r="I57" s="19"/>
      <c r="J57" s="19"/>
      <c r="K57" s="19"/>
      <c r="L57" s="19"/>
      <c r="M57" s="19"/>
      <c r="N57" s="19"/>
      <c r="O57" s="19"/>
    </row>
    <row r="58" spans="1:15" x14ac:dyDescent="0.35">
      <c r="A58" s="19"/>
      <c r="B58" s="23"/>
      <c r="C58" s="23"/>
      <c r="D58" s="23"/>
      <c r="E58" s="23"/>
      <c r="F58" s="23"/>
      <c r="G58" s="19"/>
      <c r="H58" s="19"/>
      <c r="I58" s="19"/>
      <c r="J58" s="19"/>
      <c r="K58" s="19"/>
      <c r="L58" s="19"/>
      <c r="M58" s="19"/>
      <c r="N58" s="19"/>
      <c r="O58" s="19"/>
    </row>
    <row r="59" spans="1:15" x14ac:dyDescent="0.35">
      <c r="A59" s="69" t="s">
        <v>99</v>
      </c>
      <c r="B59" s="69"/>
      <c r="C59" s="22"/>
      <c r="D59" s="22"/>
      <c r="E59" s="22"/>
      <c r="F59" s="22"/>
      <c r="G59" s="18"/>
      <c r="H59" s="18"/>
      <c r="I59" s="18"/>
      <c r="J59" s="18"/>
      <c r="K59" s="18"/>
      <c r="L59" s="18"/>
      <c r="M59" s="18"/>
      <c r="N59" s="18"/>
      <c r="O59" s="18"/>
    </row>
    <row r="60" spans="1:15" x14ac:dyDescent="0.35">
      <c r="A60" s="69"/>
      <c r="B60" s="69"/>
      <c r="C60" s="22"/>
      <c r="D60" s="22"/>
      <c r="E60" s="22"/>
      <c r="F60" s="22"/>
      <c r="G60" s="18"/>
      <c r="H60" s="18"/>
      <c r="I60" s="18"/>
      <c r="J60" s="18"/>
      <c r="K60" s="18"/>
      <c r="L60" s="18"/>
      <c r="M60" s="18"/>
      <c r="N60" s="18"/>
      <c r="O60" s="18"/>
    </row>
    <row r="61" spans="1:15" x14ac:dyDescent="0.35">
      <c r="A61" s="15" t="s">
        <v>0</v>
      </c>
      <c r="B61" s="24" t="s">
        <v>1</v>
      </c>
      <c r="C61" s="24" t="s">
        <v>2</v>
      </c>
      <c r="D61" s="24" t="s">
        <v>3</v>
      </c>
      <c r="E61" s="24" t="s">
        <v>4</v>
      </c>
      <c r="F61" s="24" t="s">
        <v>5</v>
      </c>
      <c r="G61" s="15" t="s">
        <v>6</v>
      </c>
      <c r="H61" s="15" t="s">
        <v>7</v>
      </c>
      <c r="I61" s="15" t="s">
        <v>8</v>
      </c>
      <c r="J61" s="15" t="s">
        <v>81</v>
      </c>
      <c r="K61" s="21" t="s">
        <v>9</v>
      </c>
      <c r="L61" s="15" t="s">
        <v>82</v>
      </c>
      <c r="M61" s="21" t="s">
        <v>10</v>
      </c>
      <c r="N61" s="15" t="s">
        <v>83</v>
      </c>
      <c r="O61" s="20" t="s">
        <v>11</v>
      </c>
    </row>
    <row r="62" spans="1:15" x14ac:dyDescent="0.35">
      <c r="A62">
        <v>1</v>
      </c>
      <c r="B62" s="25">
        <v>92.59</v>
      </c>
      <c r="C62" s="25">
        <v>97.42</v>
      </c>
      <c r="D62" s="25">
        <v>95.87</v>
      </c>
      <c r="E62" s="25">
        <v>89.71</v>
      </c>
      <c r="F62" s="25">
        <v>80.05</v>
      </c>
      <c r="G62">
        <v>97210</v>
      </c>
      <c r="H62">
        <v>1456534</v>
      </c>
      <c r="I62" s="8">
        <v>4</v>
      </c>
      <c r="J62" s="15"/>
      <c r="K62" s="7">
        <f>Table10[[#This Row],[total_efficiency]]/Table10[[#This Row],[execution_time_ms]]</f>
        <v>9.5247402530603854E-4</v>
      </c>
      <c r="L62" s="15"/>
      <c r="M62" s="7">
        <f>Table10[[#This Row],[total_waste_mm2]]/4</f>
        <v>364133.5</v>
      </c>
      <c r="N62" s="15"/>
      <c r="O62">
        <f>Table10[[#This Row],[sheet_3_eff]]-Table10[[#This Row],[last_sheet_true_eff]]</f>
        <v>9.6599999999999966</v>
      </c>
    </row>
    <row r="63" spans="1:15" x14ac:dyDescent="0.35">
      <c r="A63">
        <v>2</v>
      </c>
      <c r="B63" s="25">
        <v>94.51</v>
      </c>
      <c r="C63" s="25">
        <v>97.4</v>
      </c>
      <c r="D63" s="25">
        <v>96.17</v>
      </c>
      <c r="E63" s="25">
        <v>92.28</v>
      </c>
      <c r="F63" s="25">
        <v>87.83</v>
      </c>
      <c r="G63">
        <v>98818</v>
      </c>
      <c r="H63">
        <v>1057564</v>
      </c>
      <c r="I63" s="8">
        <v>4</v>
      </c>
      <c r="J63" s="15"/>
      <c r="K63" s="7">
        <f>Table10[[#This Row],[total_efficiency]]/Table10[[#This Row],[execution_time_ms]]</f>
        <v>9.5640470359651081E-4</v>
      </c>
      <c r="L63" s="15"/>
      <c r="M63" s="7">
        <f>Table10[[#This Row],[total_waste_mm2]]/4</f>
        <v>264391</v>
      </c>
      <c r="N63" s="15"/>
      <c r="O63">
        <f>Table10[[#This Row],[sheet_3_eff]]-Table10[[#This Row],[last_sheet_true_eff]]</f>
        <v>4.4500000000000028</v>
      </c>
    </row>
    <row r="64" spans="1:15" x14ac:dyDescent="0.35">
      <c r="A64">
        <v>3</v>
      </c>
      <c r="B64" s="25">
        <v>93.75</v>
      </c>
      <c r="C64" s="25">
        <v>93.99</v>
      </c>
      <c r="D64" s="25">
        <v>94.98</v>
      </c>
      <c r="E64" s="25">
        <v>95.03</v>
      </c>
      <c r="F64" s="25">
        <v>86.43</v>
      </c>
      <c r="G64">
        <v>121301</v>
      </c>
      <c r="H64">
        <v>1238914</v>
      </c>
      <c r="I64" s="8">
        <v>4</v>
      </c>
      <c r="J64" s="15"/>
      <c r="K64" s="7">
        <f>Table10[[#This Row],[total_efficiency]]/Table10[[#This Row],[execution_time_ms]]</f>
        <v>7.7287079249140566E-4</v>
      </c>
      <c r="L64" s="15"/>
      <c r="M64" s="7">
        <f>Table10[[#This Row],[total_waste_mm2]]/4</f>
        <v>309728.5</v>
      </c>
      <c r="N64" s="15"/>
      <c r="O64">
        <f>Table10[[#This Row],[sheet_3_eff]]-Table10[[#This Row],[last_sheet_true_eff]]</f>
        <v>8.5999999999999943</v>
      </c>
    </row>
    <row r="65" spans="1:15" x14ac:dyDescent="0.35">
      <c r="A65">
        <v>4</v>
      </c>
      <c r="B65" s="25">
        <v>93.81</v>
      </c>
      <c r="C65" s="25">
        <v>96.85</v>
      </c>
      <c r="D65" s="25">
        <v>96.17</v>
      </c>
      <c r="E65" s="25">
        <v>93.16</v>
      </c>
      <c r="F65" s="25">
        <v>81.08</v>
      </c>
      <c r="G65">
        <v>114480</v>
      </c>
      <c r="H65">
        <v>1236124</v>
      </c>
      <c r="I65" s="8">
        <v>4</v>
      </c>
      <c r="J65" s="15"/>
      <c r="K65" s="7">
        <f>Table10[[#This Row],[total_efficiency]]/Table10[[#This Row],[execution_time_ms]]</f>
        <v>8.1944444444444447E-4</v>
      </c>
      <c r="L65" s="15"/>
      <c r="M65" s="7">
        <f>Table10[[#This Row],[total_waste_mm2]]/4</f>
        <v>309031</v>
      </c>
      <c r="N65" s="15"/>
      <c r="O65">
        <f>Table10[[#This Row],[sheet_3_eff]]-Table10[[#This Row],[last_sheet_true_eff]]</f>
        <v>12.079999999999998</v>
      </c>
    </row>
    <row r="66" spans="1:15" x14ac:dyDescent="0.35">
      <c r="A66">
        <v>5</v>
      </c>
      <c r="B66" s="25">
        <v>93.31</v>
      </c>
      <c r="C66" s="25">
        <v>96.52</v>
      </c>
      <c r="D66" s="25">
        <v>97.05</v>
      </c>
      <c r="E66" s="25">
        <v>90.41</v>
      </c>
      <c r="F66" s="25">
        <v>82.92</v>
      </c>
      <c r="G66">
        <v>108632</v>
      </c>
      <c r="H66">
        <v>1305874</v>
      </c>
      <c r="I66" s="8">
        <v>4</v>
      </c>
      <c r="J66" s="15"/>
      <c r="K66" s="7">
        <f>Table10[[#This Row],[total_efficiency]]/Table10[[#This Row],[execution_time_ms]]</f>
        <v>8.5895500405037191E-4</v>
      </c>
      <c r="L66" s="15"/>
      <c r="M66" s="7">
        <f>Table10[[#This Row],[total_waste_mm2]]/4</f>
        <v>326468.5</v>
      </c>
      <c r="N66" s="15"/>
      <c r="O66">
        <f>Table10[[#This Row],[sheet_3_eff]]-Table10[[#This Row],[last_sheet_true_eff]]</f>
        <v>7.4899999999999949</v>
      </c>
    </row>
    <row r="67" spans="1:15" x14ac:dyDescent="0.35">
      <c r="A67">
        <v>6</v>
      </c>
      <c r="B67" s="25">
        <v>92.76</v>
      </c>
      <c r="C67" s="25">
        <v>95.3</v>
      </c>
      <c r="D67" s="25">
        <v>94.21</v>
      </c>
      <c r="E67" s="25">
        <v>92.41</v>
      </c>
      <c r="F67" s="25">
        <v>83.89</v>
      </c>
      <c r="G67">
        <v>121674</v>
      </c>
      <c r="H67">
        <v>1660204</v>
      </c>
      <c r="I67" s="8">
        <v>4</v>
      </c>
      <c r="J67" s="15"/>
      <c r="K67" s="7">
        <f>Table10[[#This Row],[total_efficiency]]/Table10[[#This Row],[execution_time_ms]]</f>
        <v>7.6236500813649591E-4</v>
      </c>
      <c r="L67" s="15"/>
      <c r="M67" s="7">
        <f>Table10[[#This Row],[total_waste_mm2]]/4</f>
        <v>415051</v>
      </c>
      <c r="N67" s="15"/>
      <c r="O67">
        <f>Table10[[#This Row],[sheet_3_eff]]-Table10[[#This Row],[last_sheet_true_eff]]</f>
        <v>8.519999999999996</v>
      </c>
    </row>
    <row r="68" spans="1:15" x14ac:dyDescent="0.35">
      <c r="A68">
        <v>7</v>
      </c>
      <c r="B68" s="25">
        <v>93.31</v>
      </c>
      <c r="C68" s="25">
        <v>93.99</v>
      </c>
      <c r="D68" s="25">
        <v>95.34</v>
      </c>
      <c r="E68" s="25">
        <v>94.36</v>
      </c>
      <c r="F68" s="25">
        <v>83.7</v>
      </c>
      <c r="G68">
        <v>122558</v>
      </c>
      <c r="H68">
        <v>1361674</v>
      </c>
      <c r="I68" s="8">
        <v>4</v>
      </c>
      <c r="J68" s="15"/>
      <c r="K68" s="7">
        <f>Table10[[#This Row],[total_efficiency]]/Table10[[#This Row],[execution_time_ms]]</f>
        <v>7.6135380799295031E-4</v>
      </c>
      <c r="L68" s="15"/>
      <c r="M68" s="7">
        <f>Table10[[#This Row],[total_waste_mm2]]/4</f>
        <v>340418.5</v>
      </c>
      <c r="N68" s="15"/>
      <c r="O68">
        <f>Table10[[#This Row],[sheet_3_eff]]-Table10[[#This Row],[last_sheet_true_eff]]</f>
        <v>10.659999999999997</v>
      </c>
    </row>
    <row r="69" spans="1:15" x14ac:dyDescent="0.35">
      <c r="A69">
        <v>8</v>
      </c>
      <c r="B69" s="25">
        <v>93.85</v>
      </c>
      <c r="C69" s="25">
        <v>96.56</v>
      </c>
      <c r="D69" s="25">
        <v>95.08</v>
      </c>
      <c r="E69" s="25">
        <v>94.49</v>
      </c>
      <c r="F69" s="25">
        <v>81.510000000000005</v>
      </c>
      <c r="G69">
        <v>120299</v>
      </c>
      <c r="H69">
        <v>1205434</v>
      </c>
      <c r="I69" s="8">
        <v>4</v>
      </c>
      <c r="J69" s="15"/>
      <c r="K69" s="7">
        <f>Table10[[#This Row],[total_efficiency]]/Table10[[#This Row],[execution_time_ms]]</f>
        <v>7.8013948578126169E-4</v>
      </c>
      <c r="L69" s="15"/>
      <c r="M69" s="7">
        <f>Table10[[#This Row],[total_waste_mm2]]/4</f>
        <v>301358.5</v>
      </c>
      <c r="N69" s="15"/>
      <c r="O69">
        <f>Table10[[#This Row],[sheet_3_eff]]-Table10[[#This Row],[last_sheet_true_eff]]</f>
        <v>12.97999999999999</v>
      </c>
    </row>
    <row r="70" spans="1:15" x14ac:dyDescent="0.35">
      <c r="A70">
        <v>9</v>
      </c>
      <c r="B70" s="25">
        <v>94.31</v>
      </c>
      <c r="C70" s="25">
        <v>94.97</v>
      </c>
      <c r="D70" s="25">
        <v>94.82</v>
      </c>
      <c r="E70" s="25">
        <v>95.39</v>
      </c>
      <c r="F70" s="25">
        <v>87.94</v>
      </c>
      <c r="G70">
        <v>127753</v>
      </c>
      <c r="H70">
        <v>1102204</v>
      </c>
      <c r="I70" s="8">
        <v>4</v>
      </c>
      <c r="J70" s="15"/>
      <c r="K70" s="7">
        <f>Table10[[#This Row],[total_efficiency]]/Table10[[#This Row],[execution_time_ms]]</f>
        <v>7.3822141163025522E-4</v>
      </c>
      <c r="L70" s="15"/>
      <c r="M70" s="7">
        <f>Table10[[#This Row],[total_waste_mm2]]/4</f>
        <v>275551</v>
      </c>
      <c r="N70" s="15"/>
      <c r="O70">
        <f>Table10[[#This Row],[sheet_3_eff]]-Table10[[#This Row],[last_sheet_true_eff]]</f>
        <v>7.4500000000000028</v>
      </c>
    </row>
    <row r="71" spans="1:15" x14ac:dyDescent="0.35">
      <c r="A71">
        <v>10</v>
      </c>
      <c r="B71" s="25">
        <v>93.61</v>
      </c>
      <c r="C71" s="25">
        <v>93.99</v>
      </c>
      <c r="D71" s="25">
        <v>95.31</v>
      </c>
      <c r="E71" s="25">
        <v>95.65</v>
      </c>
      <c r="F71" s="25">
        <v>82.79</v>
      </c>
      <c r="G71">
        <v>116738</v>
      </c>
      <c r="H71">
        <v>1289134</v>
      </c>
      <c r="I71" s="8">
        <v>4</v>
      </c>
      <c r="J71" s="15"/>
      <c r="K71" s="7">
        <f>Table10[[#This Row],[total_efficiency]]/Table10[[#This Row],[execution_time_ms]]</f>
        <v>8.0188113553427331E-4</v>
      </c>
      <c r="L71" s="15"/>
      <c r="M71" s="7">
        <f>Table10[[#This Row],[total_waste_mm2]]/4</f>
        <v>322283.5</v>
      </c>
      <c r="N71" s="15"/>
      <c r="O71">
        <f>Table10[[#This Row],[sheet_3_eff]]-Table10[[#This Row],[last_sheet_true_eff]]</f>
        <v>12.86</v>
      </c>
    </row>
    <row r="72" spans="1:15" x14ac:dyDescent="0.35">
      <c r="A72">
        <v>11</v>
      </c>
      <c r="B72" s="25">
        <v>93.35</v>
      </c>
      <c r="C72" s="25">
        <v>96.56</v>
      </c>
      <c r="D72" s="25">
        <v>96.58</v>
      </c>
      <c r="E72" s="25">
        <v>93.29</v>
      </c>
      <c r="F72" s="25">
        <v>76.930000000000007</v>
      </c>
      <c r="G72">
        <v>110398</v>
      </c>
      <c r="H72">
        <v>1333774</v>
      </c>
      <c r="I72" s="8">
        <v>4</v>
      </c>
      <c r="J72" s="15"/>
      <c r="K72" s="7">
        <f>Table10[[#This Row],[total_efficiency]]/Table10[[#This Row],[execution_time_ms]]</f>
        <v>8.4557691262522865E-4</v>
      </c>
      <c r="L72" s="15"/>
      <c r="M72" s="7">
        <f>Table10[[#This Row],[total_waste_mm2]]/4</f>
        <v>333443.5</v>
      </c>
      <c r="N72" s="15"/>
      <c r="O72">
        <f>Table10[[#This Row],[sheet_3_eff]]-Table10[[#This Row],[last_sheet_true_eff]]</f>
        <v>16.36</v>
      </c>
    </row>
    <row r="73" spans="1:15" x14ac:dyDescent="0.35">
      <c r="A73">
        <v>12</v>
      </c>
      <c r="B73" s="25">
        <v>93.49</v>
      </c>
      <c r="C73" s="25">
        <v>96.02</v>
      </c>
      <c r="D73" s="25">
        <v>95.14</v>
      </c>
      <c r="E73" s="25">
        <v>92.18</v>
      </c>
      <c r="F73" s="25">
        <v>86.05</v>
      </c>
      <c r="G73">
        <v>114355</v>
      </c>
      <c r="H73">
        <v>1289134</v>
      </c>
      <c r="I73" s="8">
        <v>4</v>
      </c>
      <c r="J73" s="15"/>
      <c r="K73" s="7">
        <f>Table10[[#This Row],[total_efficiency]]/Table10[[#This Row],[execution_time_ms]]</f>
        <v>8.1754186524419571E-4</v>
      </c>
      <c r="L73" s="15"/>
      <c r="M73" s="7">
        <f>Table10[[#This Row],[total_waste_mm2]]/4</f>
        <v>322283.5</v>
      </c>
      <c r="N73" s="15"/>
      <c r="O73">
        <f>Table10[[#This Row],[sheet_3_eff]]-Table10[[#This Row],[last_sheet_true_eff]]</f>
        <v>6.1300000000000097</v>
      </c>
    </row>
    <row r="74" spans="1:15" x14ac:dyDescent="0.35">
      <c r="A74">
        <v>13</v>
      </c>
      <c r="B74" s="25">
        <v>93.37</v>
      </c>
      <c r="C74" s="25">
        <v>96.27</v>
      </c>
      <c r="D74" s="25">
        <v>95.52</v>
      </c>
      <c r="E74" s="25">
        <v>92.65</v>
      </c>
      <c r="F74" s="25">
        <v>82.21</v>
      </c>
      <c r="G74">
        <v>118509</v>
      </c>
      <c r="H74">
        <v>1333774</v>
      </c>
      <c r="I74" s="8">
        <v>4</v>
      </c>
      <c r="J74" s="15"/>
      <c r="K74" s="7">
        <f>Table10[[#This Row],[total_efficiency]]/Table10[[#This Row],[execution_time_ms]]</f>
        <v>7.8787265102228524E-4</v>
      </c>
      <c r="L74" s="15"/>
      <c r="M74" s="7">
        <f>Table10[[#This Row],[total_waste_mm2]]/4</f>
        <v>333443.5</v>
      </c>
      <c r="N74" s="15"/>
      <c r="O74">
        <f>Table10[[#This Row],[sheet_3_eff]]-Table10[[#This Row],[last_sheet_true_eff]]</f>
        <v>10.440000000000012</v>
      </c>
    </row>
    <row r="75" spans="1:15" x14ac:dyDescent="0.35">
      <c r="A75">
        <v>14</v>
      </c>
      <c r="B75" s="25">
        <v>93.31</v>
      </c>
      <c r="C75" s="25">
        <v>97.42</v>
      </c>
      <c r="D75" s="25">
        <v>94.13</v>
      </c>
      <c r="E75" s="25">
        <v>92.4</v>
      </c>
      <c r="F75" s="25">
        <v>82.98</v>
      </c>
      <c r="G75">
        <v>99851</v>
      </c>
      <c r="H75">
        <v>1305874</v>
      </c>
      <c r="I75" s="8">
        <v>4</v>
      </c>
      <c r="J75" s="15"/>
      <c r="K75" s="7">
        <f>Table10[[#This Row],[total_efficiency]]/Table10[[#This Row],[execution_time_ms]]</f>
        <v>9.344923936665632E-4</v>
      </c>
      <c r="L75" s="15"/>
      <c r="M75" s="7">
        <f>Table10[[#This Row],[total_waste_mm2]]/4</f>
        <v>326468.5</v>
      </c>
      <c r="N75" s="15"/>
      <c r="O75">
        <f>Table10[[#This Row],[sheet_3_eff]]-Table10[[#This Row],[last_sheet_true_eff]]</f>
        <v>9.4200000000000017</v>
      </c>
    </row>
    <row r="76" spans="1:15" x14ac:dyDescent="0.35">
      <c r="A76">
        <v>15</v>
      </c>
      <c r="B76" s="25">
        <v>94.35</v>
      </c>
      <c r="C76" s="25">
        <v>95.3</v>
      </c>
      <c r="D76" s="25">
        <v>94.64</v>
      </c>
      <c r="E76" s="25">
        <v>94.36</v>
      </c>
      <c r="F76" s="25">
        <v>90.81</v>
      </c>
      <c r="G76">
        <v>136203</v>
      </c>
      <c r="H76">
        <v>1096624</v>
      </c>
      <c r="I76" s="8">
        <v>4</v>
      </c>
      <c r="J76" s="15"/>
      <c r="K76" s="7">
        <f>Table10[[#This Row],[total_efficiency]]/Table10[[#This Row],[execution_time_ms]]</f>
        <v>6.927160194709367E-4</v>
      </c>
      <c r="L76" s="15"/>
      <c r="M76" s="7">
        <f>Table10[[#This Row],[total_waste_mm2]]/4</f>
        <v>274156</v>
      </c>
      <c r="N76" s="15"/>
      <c r="O76">
        <f>Table10[[#This Row],[sheet_3_eff]]-Table10[[#This Row],[last_sheet_true_eff]]</f>
        <v>3.5499999999999972</v>
      </c>
    </row>
    <row r="77" spans="1:15" x14ac:dyDescent="0.35">
      <c r="A77">
        <v>16</v>
      </c>
      <c r="B77" s="25">
        <v>94.7</v>
      </c>
      <c r="C77" s="25">
        <v>96.82</v>
      </c>
      <c r="D77" s="25">
        <v>96.37</v>
      </c>
      <c r="E77" s="25">
        <v>94.96</v>
      </c>
      <c r="F77" s="25">
        <v>82.78</v>
      </c>
      <c r="G77">
        <v>117014</v>
      </c>
      <c r="H77">
        <v>1068724</v>
      </c>
      <c r="I77" s="8">
        <v>4</v>
      </c>
      <c r="J77" s="15"/>
      <c r="K77" s="7">
        <f>Table10[[#This Row],[total_efficiency]]/Table10[[#This Row],[execution_time_ms]]</f>
        <v>8.0930486950279458E-4</v>
      </c>
      <c r="L77" s="15"/>
      <c r="M77" s="7">
        <f>Table10[[#This Row],[total_waste_mm2]]/4</f>
        <v>267181</v>
      </c>
      <c r="N77" s="15"/>
      <c r="O77">
        <f>Table10[[#This Row],[sheet_3_eff]]-Table10[[#This Row],[last_sheet_true_eff]]</f>
        <v>12.179999999999993</v>
      </c>
    </row>
    <row r="78" spans="1:15" x14ac:dyDescent="0.35">
      <c r="A78">
        <v>17</v>
      </c>
      <c r="B78" s="25">
        <v>95.01</v>
      </c>
      <c r="C78" s="25">
        <v>97.42</v>
      </c>
      <c r="D78" s="25">
        <v>96.15</v>
      </c>
      <c r="E78" s="25">
        <v>93.06</v>
      </c>
      <c r="F78" s="25">
        <v>90.19</v>
      </c>
      <c r="G78">
        <v>110675</v>
      </c>
      <c r="H78">
        <v>1001764</v>
      </c>
      <c r="I78" s="8">
        <v>4</v>
      </c>
      <c r="J78" s="15"/>
      <c r="K78" s="7">
        <f>Table10[[#This Row],[total_efficiency]]/Table10[[#This Row],[execution_time_ms]]</f>
        <v>8.5845945335441608E-4</v>
      </c>
      <c r="L78" s="15"/>
      <c r="M78" s="7">
        <f>Table10[[#This Row],[total_waste_mm2]]/4</f>
        <v>250441</v>
      </c>
      <c r="N78" s="15"/>
      <c r="O78">
        <f>Table10[[#This Row],[sheet_3_eff]]-Table10[[#This Row],[last_sheet_true_eff]]</f>
        <v>2.8700000000000045</v>
      </c>
    </row>
    <row r="79" spans="1:15" x14ac:dyDescent="0.35">
      <c r="A79">
        <v>18</v>
      </c>
      <c r="B79" s="25">
        <v>94.03</v>
      </c>
      <c r="C79" s="25">
        <v>97.42</v>
      </c>
      <c r="D79" s="25">
        <v>95.85</v>
      </c>
      <c r="E79" s="25">
        <v>89.86</v>
      </c>
      <c r="F79" s="25">
        <v>91.2</v>
      </c>
      <c r="G79">
        <v>114353</v>
      </c>
      <c r="H79">
        <v>1155214</v>
      </c>
      <c r="I79" s="8">
        <v>4</v>
      </c>
      <c r="J79" s="15"/>
      <c r="K79" s="7">
        <f>Table10[[#This Row],[total_efficiency]]/Table10[[#This Row],[execution_time_ms]]</f>
        <v>8.2227838360165453E-4</v>
      </c>
      <c r="L79" s="15"/>
      <c r="M79" s="7">
        <f>Table10[[#This Row],[total_waste_mm2]]/4</f>
        <v>288803.5</v>
      </c>
      <c r="N79" s="15"/>
      <c r="O79">
        <f>Table10[[#This Row],[sheet_3_eff]]-Table10[[#This Row],[last_sheet_true_eff]]</f>
        <v>-1.3400000000000034</v>
      </c>
    </row>
    <row r="80" spans="1:15" x14ac:dyDescent="0.35">
      <c r="A80">
        <v>19</v>
      </c>
      <c r="B80" s="25">
        <v>94.5</v>
      </c>
      <c r="C80" s="25">
        <v>95.33</v>
      </c>
      <c r="D80" s="25">
        <v>96.52</v>
      </c>
      <c r="E80" s="25">
        <v>94.03</v>
      </c>
      <c r="F80" s="25">
        <v>87.68</v>
      </c>
      <c r="G80">
        <v>147903</v>
      </c>
      <c r="H80">
        <v>1102204</v>
      </c>
      <c r="I80" s="8">
        <v>4</v>
      </c>
      <c r="J80" s="15"/>
      <c r="K80" s="7">
        <f>Table10[[#This Row],[total_efficiency]]/Table10[[#This Row],[execution_time_ms]]</f>
        <v>6.3893227317904301E-4</v>
      </c>
      <c r="L80" s="15"/>
      <c r="M80" s="7">
        <f>Table10[[#This Row],[total_waste_mm2]]/4</f>
        <v>275551</v>
      </c>
      <c r="N80" s="15"/>
      <c r="O80">
        <f>Table10[[#This Row],[sheet_3_eff]]-Table10[[#This Row],[last_sheet_true_eff]]</f>
        <v>6.3499999999999943</v>
      </c>
    </row>
    <row r="81" spans="1:15" x14ac:dyDescent="0.35">
      <c r="A81">
        <v>20</v>
      </c>
      <c r="B81" s="25">
        <v>94.65</v>
      </c>
      <c r="C81" s="25">
        <v>96.16</v>
      </c>
      <c r="D81" s="25">
        <v>95.71</v>
      </c>
      <c r="E81" s="25">
        <v>93.84</v>
      </c>
      <c r="F81" s="25">
        <v>89.56</v>
      </c>
      <c r="G81">
        <v>134863</v>
      </c>
      <c r="H81">
        <v>1026874</v>
      </c>
      <c r="I81" s="8">
        <v>4</v>
      </c>
      <c r="J81" s="15"/>
      <c r="K81" s="7">
        <f>Table10[[#This Row],[total_efficiency]]/Table10[[#This Row],[execution_time_ms]]</f>
        <v>7.0182333182563052E-4</v>
      </c>
      <c r="L81" s="15"/>
      <c r="M81" s="7">
        <f>Table10[[#This Row],[total_waste_mm2]]/4</f>
        <v>256718.5</v>
      </c>
      <c r="N81" s="15"/>
      <c r="O81">
        <f>Table10[[#This Row],[sheet_3_eff]]-Table10[[#This Row],[last_sheet_true_eff]]</f>
        <v>4.2800000000000011</v>
      </c>
    </row>
    <row r="82" spans="1:15" x14ac:dyDescent="0.35">
      <c r="A82">
        <v>21</v>
      </c>
      <c r="B82" s="25">
        <v>93.58</v>
      </c>
      <c r="C82" s="25">
        <v>97.13</v>
      </c>
      <c r="D82" s="25">
        <v>93.85</v>
      </c>
      <c r="E82" s="25">
        <v>92.51</v>
      </c>
      <c r="F82" s="25">
        <v>86.4</v>
      </c>
      <c r="G82">
        <v>107826</v>
      </c>
      <c r="H82">
        <v>1294714</v>
      </c>
      <c r="I82" s="8">
        <v>4</v>
      </c>
      <c r="J82" s="15"/>
      <c r="K82" s="7">
        <f>Table10[[#This Row],[total_efficiency]]/Table10[[#This Row],[execution_time_ms]]</f>
        <v>8.6787973216107428E-4</v>
      </c>
      <c r="L82" s="15"/>
      <c r="M82" s="7">
        <f>Table10[[#This Row],[total_waste_mm2]]/4</f>
        <v>323678.5</v>
      </c>
      <c r="N82" s="15"/>
      <c r="O82">
        <f>Table10[[#This Row],[sheet_3_eff]]-Table10[[#This Row],[last_sheet_true_eff]]</f>
        <v>6.1099999999999994</v>
      </c>
    </row>
    <row r="83" spans="1:15" x14ac:dyDescent="0.35">
      <c r="A83">
        <v>22</v>
      </c>
      <c r="B83" s="25">
        <v>93.66</v>
      </c>
      <c r="C83" s="25">
        <v>95.33</v>
      </c>
      <c r="D83" s="25">
        <v>96.17</v>
      </c>
      <c r="E83" s="25">
        <v>93.7</v>
      </c>
      <c r="F83" s="25">
        <v>82.52</v>
      </c>
      <c r="G83">
        <v>138739</v>
      </c>
      <c r="H83">
        <v>1236124</v>
      </c>
      <c r="I83" s="8">
        <v>4</v>
      </c>
      <c r="J83" s="15"/>
      <c r="K83" s="7">
        <f>Table10[[#This Row],[total_efficiency]]/Table10[[#This Row],[execution_time_ms]]</f>
        <v>6.7508054692624279E-4</v>
      </c>
      <c r="L83" s="15"/>
      <c r="M83" s="7">
        <f>Table10[[#This Row],[total_waste_mm2]]/4</f>
        <v>309031</v>
      </c>
      <c r="N83" s="15"/>
      <c r="O83">
        <f>Table10[[#This Row],[sheet_3_eff]]-Table10[[#This Row],[last_sheet_true_eff]]</f>
        <v>11.180000000000007</v>
      </c>
    </row>
    <row r="84" spans="1:15" x14ac:dyDescent="0.35">
      <c r="A84">
        <v>23</v>
      </c>
      <c r="B84" s="25">
        <v>94.11</v>
      </c>
      <c r="C84" s="25">
        <v>96.85</v>
      </c>
      <c r="D84" s="25">
        <v>96.69</v>
      </c>
      <c r="E84" s="25">
        <v>90.41</v>
      </c>
      <c r="F84" s="25">
        <v>89.66</v>
      </c>
      <c r="G84">
        <v>114543</v>
      </c>
      <c r="H84">
        <v>1138474</v>
      </c>
      <c r="I84" s="8">
        <v>4</v>
      </c>
      <c r="J84" s="15"/>
      <c r="K84" s="7">
        <f>Table10[[#This Row],[total_efficiency]]/Table10[[#This Row],[execution_time_ms]]</f>
        <v>8.2161284408475423E-4</v>
      </c>
      <c r="L84" s="15"/>
      <c r="M84" s="7">
        <f>Table10[[#This Row],[total_waste_mm2]]/4</f>
        <v>284618.5</v>
      </c>
      <c r="N84" s="15"/>
      <c r="O84">
        <f>Table10[[#This Row],[sheet_3_eff]]-Table10[[#This Row],[last_sheet_true_eff]]</f>
        <v>0.75</v>
      </c>
    </row>
    <row r="85" spans="1:15" x14ac:dyDescent="0.35">
      <c r="A85">
        <v>24</v>
      </c>
      <c r="B85" s="25">
        <v>94.84</v>
      </c>
      <c r="C85" s="25">
        <v>97.42</v>
      </c>
      <c r="D85" s="25">
        <v>94.84</v>
      </c>
      <c r="E85" s="25">
        <v>94.14</v>
      </c>
      <c r="F85" s="25">
        <v>89.3</v>
      </c>
      <c r="G85">
        <v>109524</v>
      </c>
      <c r="H85">
        <v>1001764</v>
      </c>
      <c r="I85" s="8">
        <v>4</v>
      </c>
      <c r="J85" s="15"/>
      <c r="K85" s="7">
        <f>Table10[[#This Row],[total_efficiency]]/Table10[[#This Row],[execution_time_ms]]</f>
        <v>8.6592892881925422E-4</v>
      </c>
      <c r="L85" s="15"/>
      <c r="M85" s="7">
        <f>Table10[[#This Row],[total_waste_mm2]]/4</f>
        <v>250441</v>
      </c>
      <c r="N85" s="15"/>
      <c r="O85">
        <f>Table10[[#This Row],[sheet_3_eff]]-Table10[[#This Row],[last_sheet_true_eff]]</f>
        <v>4.8400000000000034</v>
      </c>
    </row>
    <row r="86" spans="1:15" x14ac:dyDescent="0.35">
      <c r="A86">
        <v>25</v>
      </c>
      <c r="B86" s="25">
        <v>93.48</v>
      </c>
      <c r="C86" s="25">
        <v>93.99</v>
      </c>
      <c r="D86" s="25">
        <v>94.5</v>
      </c>
      <c r="E86" s="25">
        <v>94.27</v>
      </c>
      <c r="F86" s="25">
        <v>87.43</v>
      </c>
      <c r="G86">
        <v>129774</v>
      </c>
      <c r="H86">
        <v>1294714</v>
      </c>
      <c r="I86" s="8">
        <v>4</v>
      </c>
      <c r="J86" s="15"/>
      <c r="K86" s="7">
        <f>Table10[[#This Row],[total_efficiency]]/Table10[[#This Row],[execution_time_ms]]</f>
        <v>7.2032918766470942E-4</v>
      </c>
      <c r="L86" s="15"/>
      <c r="M86" s="7">
        <f>Table10[[#This Row],[total_waste_mm2]]/4</f>
        <v>323678.5</v>
      </c>
      <c r="N86" s="15"/>
      <c r="O86">
        <f>Table10[[#This Row],[sheet_3_eff]]-Table10[[#This Row],[last_sheet_true_eff]]</f>
        <v>6.8399999999999892</v>
      </c>
    </row>
    <row r="87" spans="1:15" x14ac:dyDescent="0.35">
      <c r="A87">
        <v>26</v>
      </c>
      <c r="B87" s="25">
        <v>94.83</v>
      </c>
      <c r="C87" s="25">
        <v>96.5</v>
      </c>
      <c r="D87" s="25">
        <v>97.05</v>
      </c>
      <c r="E87" s="25">
        <v>92.9</v>
      </c>
      <c r="F87" s="25">
        <v>89.02</v>
      </c>
      <c r="G87">
        <v>115647</v>
      </c>
      <c r="H87">
        <v>1060354</v>
      </c>
      <c r="I87" s="8">
        <v>4</v>
      </c>
      <c r="J87" s="15"/>
      <c r="K87" s="7">
        <f>Table10[[#This Row],[total_efficiency]]/Table10[[#This Row],[execution_time_ms]]</f>
        <v>8.1999533061817423E-4</v>
      </c>
      <c r="L87" s="15"/>
      <c r="M87" s="7">
        <f>Table10[[#This Row],[total_waste_mm2]]/4</f>
        <v>265088.5</v>
      </c>
      <c r="N87" s="15"/>
      <c r="O87">
        <f>Table10[[#This Row],[sheet_3_eff]]-Table10[[#This Row],[last_sheet_true_eff]]</f>
        <v>3.8800000000000097</v>
      </c>
    </row>
    <row r="88" spans="1:15" x14ac:dyDescent="0.35">
      <c r="A88">
        <v>27</v>
      </c>
      <c r="B88" s="25">
        <v>94.47</v>
      </c>
      <c r="C88" s="25">
        <v>95.33</v>
      </c>
      <c r="D88" s="25">
        <v>95.42</v>
      </c>
      <c r="E88" s="25">
        <v>96.08</v>
      </c>
      <c r="F88" s="25">
        <v>84.68</v>
      </c>
      <c r="G88">
        <v>136469</v>
      </c>
      <c r="H88">
        <v>1068724</v>
      </c>
      <c r="I88" s="8">
        <v>4</v>
      </c>
      <c r="J88" s="15"/>
      <c r="K88" s="7">
        <f>Table10[[#This Row],[total_efficiency]]/Table10[[#This Row],[execution_time_ms]]</f>
        <v>6.9224512526654407E-4</v>
      </c>
      <c r="L88" s="15"/>
      <c r="M88" s="7">
        <f>Table10[[#This Row],[total_waste_mm2]]/4</f>
        <v>267181</v>
      </c>
      <c r="N88" s="15"/>
      <c r="O88">
        <f>Table10[[#This Row],[sheet_3_eff]]-Table10[[#This Row],[last_sheet_true_eff]]</f>
        <v>11.399999999999991</v>
      </c>
    </row>
    <row r="89" spans="1:15" x14ac:dyDescent="0.35">
      <c r="A89">
        <v>28</v>
      </c>
      <c r="B89" s="25">
        <v>92.59</v>
      </c>
      <c r="C89" s="25">
        <v>97.42</v>
      </c>
      <c r="D89" s="25">
        <v>95.87</v>
      </c>
      <c r="E89" s="25">
        <v>89.71</v>
      </c>
      <c r="F89" s="25">
        <v>80.05</v>
      </c>
      <c r="G89">
        <v>103602</v>
      </c>
      <c r="H89">
        <v>1456534</v>
      </c>
      <c r="I89" s="8">
        <v>4</v>
      </c>
      <c r="J89" s="15"/>
      <c r="K89" s="7">
        <f>Table10[[#This Row],[total_efficiency]]/Table10[[#This Row],[execution_time_ms]]</f>
        <v>8.9370861566379035E-4</v>
      </c>
      <c r="L89" s="15"/>
      <c r="M89" s="7">
        <f>Table10[[#This Row],[total_waste_mm2]]/4</f>
        <v>364133.5</v>
      </c>
      <c r="N89" s="15"/>
      <c r="O89">
        <f>Table10[[#This Row],[sheet_3_eff]]-Table10[[#This Row],[last_sheet_true_eff]]</f>
        <v>9.6599999999999966</v>
      </c>
    </row>
    <row r="90" spans="1:15" x14ac:dyDescent="0.35">
      <c r="A90">
        <v>29</v>
      </c>
      <c r="B90" s="25">
        <v>93.31</v>
      </c>
      <c r="C90" s="25">
        <v>96.85</v>
      </c>
      <c r="D90" s="25">
        <v>96.69</v>
      </c>
      <c r="E90" s="25">
        <v>90.41</v>
      </c>
      <c r="F90" s="25">
        <v>82.98</v>
      </c>
      <c r="G90">
        <v>111061</v>
      </c>
      <c r="H90">
        <v>1305874</v>
      </c>
      <c r="I90" s="8">
        <v>4</v>
      </c>
      <c r="J90" s="15"/>
      <c r="K90" s="7">
        <f>Table10[[#This Row],[total_efficiency]]/Table10[[#This Row],[execution_time_ms]]</f>
        <v>8.4016891618119772E-4</v>
      </c>
      <c r="L90" s="15"/>
      <c r="M90" s="7">
        <f>Table10[[#This Row],[total_waste_mm2]]/4</f>
        <v>326468.5</v>
      </c>
      <c r="N90" s="15"/>
      <c r="O90">
        <f>Table10[[#This Row],[sheet_3_eff]]-Table10[[#This Row],[last_sheet_true_eff]]</f>
        <v>7.4299999999999926</v>
      </c>
    </row>
    <row r="91" spans="1:15" x14ac:dyDescent="0.35">
      <c r="A91">
        <v>30</v>
      </c>
      <c r="B91" s="25">
        <v>94.33</v>
      </c>
      <c r="C91" s="25">
        <v>95.38</v>
      </c>
      <c r="D91" s="25">
        <v>96.53</v>
      </c>
      <c r="E91" s="25">
        <v>93.22</v>
      </c>
      <c r="F91" s="25">
        <v>88.3</v>
      </c>
      <c r="G91">
        <v>118496</v>
      </c>
      <c r="H91">
        <v>1110574</v>
      </c>
      <c r="I91" s="8">
        <v>4</v>
      </c>
      <c r="J91" s="15"/>
      <c r="K91" s="7">
        <f>Table10[[#This Row],[total_efficiency]]/Table10[[#This Row],[execution_time_ms]]</f>
        <v>7.960606265190386E-4</v>
      </c>
      <c r="L91" s="15"/>
      <c r="M91" s="7">
        <f>Table10[[#This Row],[total_waste_mm2]]/4</f>
        <v>277643.5</v>
      </c>
      <c r="N91" s="15"/>
      <c r="O91">
        <f>Table10[[#This Row],[sheet_3_eff]]-Table10[[#This Row],[last_sheet_true_eff]]</f>
        <v>4.9200000000000017</v>
      </c>
    </row>
    <row r="92" spans="1:15" x14ac:dyDescent="0.35">
      <c r="A92">
        <v>31</v>
      </c>
      <c r="B92" s="25">
        <v>93.97</v>
      </c>
      <c r="C92" s="25">
        <v>95.33</v>
      </c>
      <c r="D92" s="25">
        <v>94.52</v>
      </c>
      <c r="E92" s="25">
        <v>95.09</v>
      </c>
      <c r="F92" s="25">
        <v>85.69</v>
      </c>
      <c r="G92">
        <v>134705</v>
      </c>
      <c r="H92">
        <v>1180324</v>
      </c>
      <c r="I92" s="8">
        <v>4</v>
      </c>
      <c r="J92" s="15"/>
      <c r="K92" s="7">
        <f>Table10[[#This Row],[total_efficiency]]/Table10[[#This Row],[execution_time_ms]]</f>
        <v>6.9759845588508219E-4</v>
      </c>
      <c r="L92" s="15"/>
      <c r="M92" s="7">
        <f>Table10[[#This Row],[total_waste_mm2]]/4</f>
        <v>295081</v>
      </c>
      <c r="N92" s="15"/>
      <c r="O92">
        <f>Table10[[#This Row],[sheet_3_eff]]-Table10[[#This Row],[last_sheet_true_eff]]</f>
        <v>9.4000000000000057</v>
      </c>
    </row>
    <row r="93" spans="1:15" x14ac:dyDescent="0.35">
      <c r="A93">
        <v>32</v>
      </c>
      <c r="B93" s="25">
        <v>94.17</v>
      </c>
      <c r="C93" s="25">
        <v>97.42</v>
      </c>
      <c r="D93" s="25">
        <v>95.87</v>
      </c>
      <c r="E93" s="25">
        <v>93.12</v>
      </c>
      <c r="F93" s="25">
        <v>83.27</v>
      </c>
      <c r="G93">
        <v>106038</v>
      </c>
      <c r="H93">
        <v>1155214</v>
      </c>
      <c r="I93" s="8">
        <v>4</v>
      </c>
      <c r="J93" s="15"/>
      <c r="K93" s="7">
        <f>Table10[[#This Row],[total_efficiency]]/Table10[[#This Row],[execution_time_ms]]</f>
        <v>8.8807785888077859E-4</v>
      </c>
      <c r="L93" s="15"/>
      <c r="M93" s="7">
        <f>Table10[[#This Row],[total_waste_mm2]]/4</f>
        <v>288803.5</v>
      </c>
      <c r="N93" s="15"/>
      <c r="O93">
        <f>Table10[[#This Row],[sheet_3_eff]]-Table10[[#This Row],[last_sheet_true_eff]]</f>
        <v>9.8500000000000085</v>
      </c>
    </row>
    <row r="94" spans="1:15" x14ac:dyDescent="0.35">
      <c r="A94">
        <v>33</v>
      </c>
      <c r="B94" s="25">
        <v>94.05</v>
      </c>
      <c r="C94" s="25">
        <v>97.07</v>
      </c>
      <c r="D94" s="25">
        <v>95.8</v>
      </c>
      <c r="E94" s="25">
        <v>92.48</v>
      </c>
      <c r="F94" s="25">
        <v>85.24</v>
      </c>
      <c r="G94">
        <v>105205</v>
      </c>
      <c r="H94">
        <v>1155214</v>
      </c>
      <c r="I94" s="8">
        <v>4</v>
      </c>
      <c r="J94" s="15"/>
      <c r="K94" s="7">
        <f>Table10[[#This Row],[total_efficiency]]/Table10[[#This Row],[execution_time_ms]]</f>
        <v>8.9396891782709945E-4</v>
      </c>
      <c r="L94" s="15"/>
      <c r="M94" s="7">
        <f>Table10[[#This Row],[total_waste_mm2]]/4</f>
        <v>288803.5</v>
      </c>
      <c r="N94" s="15"/>
      <c r="O94">
        <f>Table10[[#This Row],[sheet_3_eff]]-Table10[[#This Row],[last_sheet_true_eff]]</f>
        <v>7.2400000000000091</v>
      </c>
    </row>
    <row r="95" spans="1:15" x14ac:dyDescent="0.35">
      <c r="A95">
        <v>34</v>
      </c>
      <c r="B95" s="25">
        <v>93.74</v>
      </c>
      <c r="C95" s="25">
        <v>96.53</v>
      </c>
      <c r="D95" s="25">
        <v>93.53</v>
      </c>
      <c r="E95" s="25">
        <v>94.05</v>
      </c>
      <c r="F95" s="25">
        <v>86.04</v>
      </c>
      <c r="G95">
        <v>116030</v>
      </c>
      <c r="H95">
        <v>1238914</v>
      </c>
      <c r="I95" s="8">
        <v>4</v>
      </c>
      <c r="J95" s="15"/>
      <c r="K95" s="7">
        <f>Table10[[#This Row],[total_efficiency]]/Table10[[#This Row],[execution_time_ms]]</f>
        <v>8.0789451004050676E-4</v>
      </c>
      <c r="L95" s="15"/>
      <c r="M95" s="7">
        <f>Table10[[#This Row],[total_waste_mm2]]/4</f>
        <v>309728.5</v>
      </c>
      <c r="N95" s="15"/>
      <c r="O95">
        <f>Table10[[#This Row],[sheet_3_eff]]-Table10[[#This Row],[last_sheet_true_eff]]</f>
        <v>8.0099999999999909</v>
      </c>
    </row>
    <row r="96" spans="1:15" x14ac:dyDescent="0.35">
      <c r="A96">
        <v>35</v>
      </c>
      <c r="B96" s="25">
        <v>93.86</v>
      </c>
      <c r="C96" s="25">
        <v>97.4</v>
      </c>
      <c r="D96" s="25">
        <v>94.72</v>
      </c>
      <c r="E96" s="25">
        <v>92.63</v>
      </c>
      <c r="F96" s="25">
        <v>85.33</v>
      </c>
      <c r="G96">
        <v>213998</v>
      </c>
      <c r="H96">
        <v>1289134</v>
      </c>
      <c r="I96" s="8">
        <v>4</v>
      </c>
      <c r="J96" s="15"/>
      <c r="K96" s="7">
        <f>Table10[[#This Row],[total_efficiency]]/Table10[[#This Row],[execution_time_ms]]</f>
        <v>4.3860222992738249E-4</v>
      </c>
      <c r="L96" s="15"/>
      <c r="M96" s="7">
        <f>Table10[[#This Row],[total_waste_mm2]]/4</f>
        <v>322283.5</v>
      </c>
      <c r="N96" s="15"/>
      <c r="O96">
        <f>Table10[[#This Row],[sheet_3_eff]]-Table10[[#This Row],[last_sheet_true_eff]]</f>
        <v>7.2999999999999972</v>
      </c>
    </row>
    <row r="97" spans="1:15" x14ac:dyDescent="0.35">
      <c r="A97">
        <v>36</v>
      </c>
      <c r="B97" s="25">
        <v>93.59</v>
      </c>
      <c r="C97" s="25">
        <v>97.07</v>
      </c>
      <c r="D97" s="25">
        <v>95.8</v>
      </c>
      <c r="E97" s="25">
        <v>91.1</v>
      </c>
      <c r="F97" s="25">
        <v>85.18</v>
      </c>
      <c r="G97">
        <v>105274</v>
      </c>
      <c r="H97">
        <v>1339354</v>
      </c>
      <c r="I97" s="8">
        <v>4</v>
      </c>
      <c r="J97" s="15"/>
      <c r="K97" s="7">
        <f>Table10[[#This Row],[total_efficiency]]/Table10[[#This Row],[execution_time_ms]]</f>
        <v>8.8901343161654353E-4</v>
      </c>
      <c r="L97" s="15"/>
      <c r="M97" s="7">
        <f>Table10[[#This Row],[total_waste_mm2]]/4</f>
        <v>334838.5</v>
      </c>
      <c r="N97" s="15"/>
      <c r="O97">
        <f>Table10[[#This Row],[sheet_3_eff]]-Table10[[#This Row],[last_sheet_true_eff]]</f>
        <v>5.9199999999999875</v>
      </c>
    </row>
    <row r="98" spans="1:15" x14ac:dyDescent="0.35">
      <c r="A98">
        <v>37</v>
      </c>
      <c r="B98" s="25">
        <v>93.92</v>
      </c>
      <c r="C98" s="25">
        <v>95.33</v>
      </c>
      <c r="D98" s="25">
        <v>96.47</v>
      </c>
      <c r="E98" s="25">
        <v>92.78</v>
      </c>
      <c r="F98" s="25">
        <v>86.28</v>
      </c>
      <c r="G98">
        <v>136052</v>
      </c>
      <c r="H98">
        <v>1205434</v>
      </c>
      <c r="I98" s="8">
        <v>4</v>
      </c>
      <c r="J98" s="15"/>
      <c r="K98" s="7">
        <f>Table10[[#This Row],[total_efficiency]]/Table10[[#This Row],[execution_time_ms]]</f>
        <v>6.9032428777232233E-4</v>
      </c>
      <c r="L98" s="15"/>
      <c r="M98" s="7">
        <f>Table10[[#This Row],[total_waste_mm2]]/4</f>
        <v>301358.5</v>
      </c>
      <c r="N98" s="15"/>
      <c r="O98">
        <f>Table10[[#This Row],[sheet_3_eff]]-Table10[[#This Row],[last_sheet_true_eff]]</f>
        <v>6.5</v>
      </c>
    </row>
    <row r="99" spans="1:15" x14ac:dyDescent="0.35">
      <c r="A99">
        <v>38</v>
      </c>
      <c r="B99" s="25">
        <v>94.52</v>
      </c>
      <c r="C99" s="25">
        <v>95.33</v>
      </c>
      <c r="D99" s="25">
        <v>94.52</v>
      </c>
      <c r="E99" s="25">
        <v>96.13</v>
      </c>
      <c r="F99" s="25">
        <v>87.51</v>
      </c>
      <c r="G99">
        <v>134741</v>
      </c>
      <c r="H99">
        <v>1068724</v>
      </c>
      <c r="I99" s="8">
        <v>4</v>
      </c>
      <c r="J99" s="15"/>
      <c r="K99" s="7">
        <f>Table10[[#This Row],[total_efficiency]]/Table10[[#This Row],[execution_time_ms]]</f>
        <v>7.0149397733429322E-4</v>
      </c>
      <c r="L99" s="15"/>
      <c r="M99" s="7">
        <f>Table10[[#This Row],[total_waste_mm2]]/4</f>
        <v>267181</v>
      </c>
      <c r="N99" s="15"/>
      <c r="O99">
        <f>Table10[[#This Row],[sheet_3_eff]]-Table10[[#This Row],[last_sheet_true_eff]]</f>
        <v>8.6199999999999903</v>
      </c>
    </row>
    <row r="100" spans="1:15" x14ac:dyDescent="0.35">
      <c r="A100">
        <v>39</v>
      </c>
      <c r="B100" s="25">
        <v>95.11</v>
      </c>
      <c r="C100" s="25">
        <v>97.14</v>
      </c>
      <c r="D100" s="25">
        <v>95.43</v>
      </c>
      <c r="E100" s="25">
        <v>95.4</v>
      </c>
      <c r="F100" s="25">
        <v>87.04</v>
      </c>
      <c r="G100">
        <v>114941</v>
      </c>
      <c r="H100">
        <v>934804</v>
      </c>
      <c r="I100" s="8">
        <v>4</v>
      </c>
      <c r="J100" s="15"/>
      <c r="K100" s="7">
        <f>Table10[[#This Row],[total_efficiency]]/Table10[[#This Row],[execution_time_ms]]</f>
        <v>8.2746800532447083E-4</v>
      </c>
      <c r="L100" s="15"/>
      <c r="M100" s="7">
        <f>Table10[[#This Row],[total_waste_mm2]]/4</f>
        <v>233701</v>
      </c>
      <c r="N100" s="15"/>
      <c r="O100">
        <f>Table10[[#This Row],[sheet_3_eff]]-Table10[[#This Row],[last_sheet_true_eff]]</f>
        <v>8.36</v>
      </c>
    </row>
    <row r="101" spans="1:15" x14ac:dyDescent="0.35">
      <c r="A101">
        <v>40</v>
      </c>
      <c r="B101" s="25">
        <v>94.11</v>
      </c>
      <c r="C101" s="25">
        <v>96.83</v>
      </c>
      <c r="D101" s="25">
        <v>96.71</v>
      </c>
      <c r="E101" s="25">
        <v>90.41</v>
      </c>
      <c r="F101" s="25">
        <v>89.66</v>
      </c>
      <c r="G101">
        <v>113394</v>
      </c>
      <c r="H101">
        <v>1138474</v>
      </c>
      <c r="I101" s="8">
        <v>4</v>
      </c>
      <c r="J101" s="15"/>
      <c r="K101" s="7">
        <f>Table10[[#This Row],[total_efficiency]]/Table10[[#This Row],[execution_time_ms]]</f>
        <v>8.2993809196253775E-4</v>
      </c>
      <c r="L101" s="15"/>
      <c r="M101" s="7">
        <f>Table10[[#This Row],[total_waste_mm2]]/4</f>
        <v>284618.5</v>
      </c>
      <c r="N101" s="15"/>
      <c r="O101">
        <f>Table10[[#This Row],[sheet_3_eff]]-Table10[[#This Row],[last_sheet_true_eff]]</f>
        <v>0.75</v>
      </c>
    </row>
    <row r="102" spans="1:15" x14ac:dyDescent="0.35">
      <c r="A102">
        <v>41</v>
      </c>
      <c r="B102" s="25">
        <v>94.03</v>
      </c>
      <c r="C102" s="25">
        <v>97.4</v>
      </c>
      <c r="D102" s="25">
        <v>94.84</v>
      </c>
      <c r="E102" s="25">
        <v>93.18</v>
      </c>
      <c r="F102" s="25">
        <v>84.87</v>
      </c>
      <c r="G102">
        <v>108194</v>
      </c>
      <c r="H102">
        <v>1155214</v>
      </c>
      <c r="I102" s="8">
        <v>4</v>
      </c>
      <c r="J102" s="15"/>
      <c r="K102" s="7">
        <f>Table10[[#This Row],[total_efficiency]]/Table10[[#This Row],[execution_time_ms]]</f>
        <v>8.690870103702608E-4</v>
      </c>
      <c r="L102" s="15"/>
      <c r="M102" s="7">
        <f>Table10[[#This Row],[total_waste_mm2]]/4</f>
        <v>288803.5</v>
      </c>
      <c r="N102" s="15"/>
      <c r="O102">
        <f>Table10[[#This Row],[sheet_3_eff]]-Table10[[#This Row],[last_sheet_true_eff]]</f>
        <v>8.3100000000000023</v>
      </c>
    </row>
    <row r="103" spans="1:15" x14ac:dyDescent="0.35">
      <c r="A103">
        <v>42</v>
      </c>
      <c r="B103" s="25">
        <v>93.88</v>
      </c>
      <c r="C103" s="25">
        <v>95.92</v>
      </c>
      <c r="D103" s="25">
        <v>94.69</v>
      </c>
      <c r="E103" s="25">
        <v>95.04</v>
      </c>
      <c r="F103" s="25">
        <v>83.02</v>
      </c>
      <c r="G103">
        <v>126268</v>
      </c>
      <c r="H103">
        <v>1236124</v>
      </c>
      <c r="I103" s="8">
        <v>4</v>
      </c>
      <c r="J103" s="15"/>
      <c r="K103" s="7">
        <f>Table10[[#This Row],[total_efficiency]]/Table10[[#This Row],[execution_time_ms]]</f>
        <v>7.4349795672696162E-4</v>
      </c>
      <c r="L103" s="15"/>
      <c r="M103" s="7">
        <f>Table10[[#This Row],[total_waste_mm2]]/4</f>
        <v>309031</v>
      </c>
      <c r="N103" s="15"/>
      <c r="O103">
        <f>Table10[[#This Row],[sheet_3_eff]]-Table10[[#This Row],[last_sheet_true_eff]]</f>
        <v>12.02000000000001</v>
      </c>
    </row>
    <row r="104" spans="1:15" x14ac:dyDescent="0.35">
      <c r="A104">
        <v>43</v>
      </c>
      <c r="B104" s="25">
        <v>93.5</v>
      </c>
      <c r="C104" s="25">
        <v>95.33</v>
      </c>
      <c r="D104" s="25">
        <v>94.97</v>
      </c>
      <c r="E104" s="25">
        <v>92.93</v>
      </c>
      <c r="F104" s="25">
        <v>86.39</v>
      </c>
      <c r="G104">
        <v>141126</v>
      </c>
      <c r="H104">
        <v>1264024</v>
      </c>
      <c r="I104" s="8">
        <v>4</v>
      </c>
      <c r="J104" s="15"/>
      <c r="K104" s="7">
        <f>Table10[[#This Row],[total_efficiency]]/Table10[[#This Row],[execution_time_ms]]</f>
        <v>6.6252852061278575E-4</v>
      </c>
      <c r="L104" s="15"/>
      <c r="M104" s="7">
        <f>Table10[[#This Row],[total_waste_mm2]]/4</f>
        <v>316006</v>
      </c>
      <c r="N104" s="15"/>
      <c r="O104">
        <f>Table10[[#This Row],[sheet_3_eff]]-Table10[[#This Row],[last_sheet_true_eff]]</f>
        <v>6.5400000000000063</v>
      </c>
    </row>
    <row r="105" spans="1:15" x14ac:dyDescent="0.35">
      <c r="A105">
        <v>44</v>
      </c>
      <c r="B105" s="25">
        <v>93.78</v>
      </c>
      <c r="C105" s="25">
        <v>95.42</v>
      </c>
      <c r="D105" s="25">
        <v>96.24</v>
      </c>
      <c r="E105" s="25">
        <v>95.64</v>
      </c>
      <c r="F105" s="25">
        <v>77.84</v>
      </c>
      <c r="G105">
        <v>112383</v>
      </c>
      <c r="H105">
        <v>1238914</v>
      </c>
      <c r="I105" s="8">
        <v>4</v>
      </c>
      <c r="J105" s="15"/>
      <c r="K105" s="7">
        <f>Table10[[#This Row],[total_efficiency]]/Table10[[#This Row],[execution_time_ms]]</f>
        <v>8.3446784656042287E-4</v>
      </c>
      <c r="L105" s="15"/>
      <c r="M105" s="7">
        <f>Table10[[#This Row],[total_waste_mm2]]/4</f>
        <v>309728.5</v>
      </c>
      <c r="N105" s="15"/>
      <c r="O105">
        <f>Table10[[#This Row],[sheet_3_eff]]-Table10[[#This Row],[last_sheet_true_eff]]</f>
        <v>17.799999999999997</v>
      </c>
    </row>
    <row r="106" spans="1:15" x14ac:dyDescent="0.35">
      <c r="A106">
        <v>45</v>
      </c>
      <c r="B106" s="25">
        <v>94.11</v>
      </c>
      <c r="C106" s="25">
        <v>97.42</v>
      </c>
      <c r="D106" s="25">
        <v>96.15</v>
      </c>
      <c r="E106" s="25">
        <v>90.41</v>
      </c>
      <c r="F106" s="25">
        <v>89.59</v>
      </c>
      <c r="G106">
        <v>103626</v>
      </c>
      <c r="H106">
        <v>1138474</v>
      </c>
      <c r="I106" s="8">
        <v>4</v>
      </c>
      <c r="J106" s="15"/>
      <c r="K106" s="7">
        <f>Table10[[#This Row],[total_efficiency]]/Table10[[#This Row],[execution_time_ms]]</f>
        <v>9.0816976434485554E-4</v>
      </c>
      <c r="L106" s="15"/>
      <c r="M106" s="7">
        <f>Table10[[#This Row],[total_waste_mm2]]/4</f>
        <v>284618.5</v>
      </c>
      <c r="N106" s="15"/>
      <c r="O106">
        <f>Table10[[#This Row],[sheet_3_eff]]-Table10[[#This Row],[last_sheet_true_eff]]</f>
        <v>0.81999999999999318</v>
      </c>
    </row>
    <row r="107" spans="1:15" x14ac:dyDescent="0.35">
      <c r="A107">
        <v>46</v>
      </c>
      <c r="B107" s="25">
        <v>94.52</v>
      </c>
      <c r="C107" s="25">
        <v>97.4</v>
      </c>
      <c r="D107" s="25">
        <v>96.17</v>
      </c>
      <c r="E107" s="25">
        <v>94.17</v>
      </c>
      <c r="F107" s="25">
        <v>82.48</v>
      </c>
      <c r="G107">
        <v>103664</v>
      </c>
      <c r="H107">
        <v>1102204</v>
      </c>
      <c r="I107" s="8">
        <v>4</v>
      </c>
      <c r="J107" s="15"/>
      <c r="K107" s="7">
        <f>Table10[[#This Row],[total_efficiency]]/Table10[[#This Row],[execution_time_ms]]</f>
        <v>9.1179194320111119E-4</v>
      </c>
      <c r="L107" s="15"/>
      <c r="M107" s="7">
        <f>Table10[[#This Row],[total_waste_mm2]]/4</f>
        <v>275551</v>
      </c>
      <c r="N107" s="15"/>
      <c r="O107">
        <f>Table10[[#This Row],[sheet_3_eff]]-Table10[[#This Row],[last_sheet_true_eff]]</f>
        <v>11.689999999999998</v>
      </c>
    </row>
    <row r="108" spans="1:15" x14ac:dyDescent="0.35">
      <c r="A108">
        <v>47</v>
      </c>
      <c r="B108" s="25">
        <v>95.51</v>
      </c>
      <c r="C108" s="25">
        <v>97.1</v>
      </c>
      <c r="D108" s="25">
        <v>96.58</v>
      </c>
      <c r="E108" s="25">
        <v>94.14</v>
      </c>
      <c r="F108" s="25">
        <v>91.4</v>
      </c>
      <c r="G108">
        <v>117551</v>
      </c>
      <c r="H108">
        <v>887374</v>
      </c>
      <c r="I108" s="8">
        <v>4</v>
      </c>
      <c r="J108" s="15"/>
      <c r="K108" s="7">
        <f>Table10[[#This Row],[total_efficiency]]/Table10[[#This Row],[execution_time_ms]]</f>
        <v>8.124984049476398E-4</v>
      </c>
      <c r="L108" s="15"/>
      <c r="M108" s="7">
        <f>Table10[[#This Row],[total_waste_mm2]]/4</f>
        <v>221843.5</v>
      </c>
      <c r="N108" s="15"/>
      <c r="O108">
        <f>Table10[[#This Row],[sheet_3_eff]]-Table10[[#This Row],[last_sheet_true_eff]]</f>
        <v>2.7399999999999949</v>
      </c>
    </row>
    <row r="109" spans="1:15" x14ac:dyDescent="0.35">
      <c r="A109">
        <v>48</v>
      </c>
      <c r="B109" s="25">
        <v>95.64</v>
      </c>
      <c r="C109" s="25">
        <v>96.85</v>
      </c>
      <c r="D109" s="25">
        <v>96.72</v>
      </c>
      <c r="E109" s="25">
        <v>94.26</v>
      </c>
      <c r="F109" s="25">
        <v>92.66</v>
      </c>
      <c r="G109">
        <v>112858</v>
      </c>
      <c r="H109">
        <v>934804</v>
      </c>
      <c r="I109" s="8">
        <v>4</v>
      </c>
      <c r="J109" s="15"/>
      <c r="K109" s="7">
        <f>Table10[[#This Row],[total_efficiency]]/Table10[[#This Row],[execution_time_ms]]</f>
        <v>8.4743660174732853E-4</v>
      </c>
      <c r="L109" s="15"/>
      <c r="M109" s="7">
        <f>Table10[[#This Row],[total_waste_mm2]]/4</f>
        <v>233701</v>
      </c>
      <c r="N109" s="15"/>
      <c r="O109">
        <f>Table10[[#This Row],[sheet_3_eff]]-Table10[[#This Row],[last_sheet_true_eff]]</f>
        <v>1.6000000000000085</v>
      </c>
    </row>
    <row r="110" spans="1:15" x14ac:dyDescent="0.35">
      <c r="A110">
        <v>49</v>
      </c>
      <c r="B110" s="25">
        <v>92.3</v>
      </c>
      <c r="C110" s="25">
        <v>93.99</v>
      </c>
      <c r="D110" s="25">
        <v>93.92</v>
      </c>
      <c r="E110" s="25">
        <v>93.33</v>
      </c>
      <c r="F110" s="25">
        <v>82.19</v>
      </c>
      <c r="G110">
        <v>127259</v>
      </c>
      <c r="H110">
        <v>1543024</v>
      </c>
      <c r="I110" s="8">
        <v>4</v>
      </c>
      <c r="J110" s="15"/>
      <c r="K110" s="7">
        <f>Table10[[#This Row],[total_efficiency]]/Table10[[#This Row],[execution_time_ms]]</f>
        <v>7.2529251369254824E-4</v>
      </c>
      <c r="L110" s="15"/>
      <c r="M110" s="7">
        <f>Table10[[#This Row],[total_waste_mm2]]/4</f>
        <v>385756</v>
      </c>
      <c r="N110" s="15"/>
      <c r="O110">
        <f>Table10[[#This Row],[sheet_3_eff]]-Table10[[#This Row],[last_sheet_true_eff]]</f>
        <v>11.14</v>
      </c>
    </row>
    <row r="111" spans="1:15" x14ac:dyDescent="0.35">
      <c r="A111">
        <v>50</v>
      </c>
      <c r="B111" s="25">
        <v>94.78</v>
      </c>
      <c r="C111" s="25">
        <v>95.89</v>
      </c>
      <c r="D111" s="25">
        <v>95.93</v>
      </c>
      <c r="E111" s="25">
        <v>94.28</v>
      </c>
      <c r="F111" s="25">
        <v>89.54</v>
      </c>
      <c r="G111">
        <v>109956</v>
      </c>
      <c r="H111">
        <v>1068724</v>
      </c>
      <c r="I111" s="8">
        <v>4</v>
      </c>
      <c r="J111" s="15"/>
      <c r="K111" s="7">
        <f>Table10[[#This Row],[total_efficiency]]/Table10[[#This Row],[execution_time_ms]]</f>
        <v>8.6198115609880321E-4</v>
      </c>
      <c r="L111" s="15"/>
      <c r="M111" s="7">
        <f>Table10[[#This Row],[total_waste_mm2]]/4</f>
        <v>267181</v>
      </c>
      <c r="N111" s="15"/>
      <c r="O111">
        <f>Table10[[#This Row],[sheet_3_eff]]-Table10[[#This Row],[last_sheet_true_eff]]</f>
        <v>4.7399999999999949</v>
      </c>
    </row>
    <row r="112" spans="1:15" x14ac:dyDescent="0.35">
      <c r="A112" s="18"/>
      <c r="B112" s="22"/>
      <c r="C112" s="22"/>
      <c r="D112" s="22"/>
      <c r="E112" s="22"/>
      <c r="F112" s="22"/>
      <c r="G112" s="18"/>
      <c r="H112" s="18"/>
      <c r="I112" s="18"/>
      <c r="J112" s="18"/>
      <c r="K112" s="18"/>
      <c r="L112" s="18"/>
      <c r="M112" s="18"/>
      <c r="N112" s="18"/>
      <c r="O112" s="18"/>
    </row>
    <row r="113" spans="1:15" x14ac:dyDescent="0.35">
      <c r="A113" s="18"/>
      <c r="B113" s="22"/>
      <c r="C113" s="22"/>
      <c r="D113" s="22"/>
      <c r="E113" s="22"/>
      <c r="F113" s="22"/>
      <c r="G113" s="18"/>
      <c r="H113" s="18"/>
      <c r="I113" s="18"/>
      <c r="J113" s="18"/>
      <c r="K113" s="18"/>
      <c r="L113" s="18"/>
      <c r="M113" s="18"/>
      <c r="N113" s="18"/>
      <c r="O113" s="18"/>
    </row>
    <row r="114" spans="1:15" x14ac:dyDescent="0.35">
      <c r="A114" s="19"/>
      <c r="B114" s="23"/>
      <c r="C114" s="23"/>
      <c r="D114" s="23"/>
      <c r="E114" s="23"/>
      <c r="F114" s="23"/>
      <c r="G114" s="19"/>
      <c r="H114" s="19"/>
      <c r="I114" s="19"/>
      <c r="J114" s="19"/>
      <c r="K114" s="19"/>
      <c r="L114" s="19"/>
      <c r="M114" s="19"/>
      <c r="N114" s="19"/>
      <c r="O114" s="19"/>
    </row>
    <row r="115" spans="1:15" x14ac:dyDescent="0.35">
      <c r="A115" s="19"/>
      <c r="B115" s="23"/>
      <c r="C115" s="23"/>
      <c r="D115" s="23"/>
      <c r="E115" s="23"/>
      <c r="F115" s="23"/>
      <c r="G115" s="19"/>
      <c r="H115" s="19"/>
      <c r="I115" s="19"/>
      <c r="J115" s="19"/>
      <c r="K115" s="19"/>
      <c r="L115" s="19"/>
      <c r="M115" s="19"/>
      <c r="N115" s="19"/>
      <c r="O115" s="19"/>
    </row>
    <row r="116" spans="1:15" x14ac:dyDescent="0.35">
      <c r="A116" s="19"/>
      <c r="B116" s="23"/>
      <c r="C116" s="23"/>
      <c r="D116" s="23"/>
      <c r="E116" s="23"/>
      <c r="F116" s="23"/>
      <c r="G116" s="19"/>
      <c r="H116" s="19"/>
      <c r="I116" s="19"/>
      <c r="J116" s="19"/>
      <c r="K116" s="19"/>
      <c r="L116" s="19"/>
      <c r="M116" s="19"/>
      <c r="N116" s="19"/>
      <c r="O116" s="19"/>
    </row>
    <row r="117" spans="1:15" x14ac:dyDescent="0.35">
      <c r="A117" s="19"/>
      <c r="B117" s="23"/>
      <c r="C117" s="23"/>
      <c r="D117" s="23"/>
      <c r="E117" s="23"/>
      <c r="F117" s="23"/>
      <c r="G117" s="19"/>
      <c r="H117" s="19"/>
      <c r="I117" s="19"/>
      <c r="J117" s="19"/>
      <c r="K117" s="19"/>
      <c r="L117" s="19"/>
      <c r="M117" s="19"/>
      <c r="N117" s="19"/>
      <c r="O117" s="19"/>
    </row>
    <row r="118" spans="1:15" x14ac:dyDescent="0.35">
      <c r="A118" s="69" t="s">
        <v>100</v>
      </c>
      <c r="B118" s="69"/>
      <c r="C118" s="22"/>
      <c r="D118" s="22"/>
      <c r="E118" s="22"/>
      <c r="F118" s="22"/>
      <c r="G118" s="18"/>
      <c r="H118" s="18"/>
      <c r="I118" s="18"/>
      <c r="J118" s="18"/>
      <c r="K118" s="18"/>
      <c r="L118" s="18"/>
      <c r="M118" s="18"/>
      <c r="N118" s="18"/>
      <c r="O118" s="18"/>
    </row>
    <row r="119" spans="1:15" x14ac:dyDescent="0.35">
      <c r="A119" s="69"/>
      <c r="B119" s="69"/>
      <c r="C119" s="22"/>
      <c r="D119" s="22"/>
      <c r="E119" s="22"/>
      <c r="F119" s="22"/>
      <c r="G119" s="18"/>
      <c r="H119" s="18"/>
      <c r="I119" s="18"/>
      <c r="J119" s="18"/>
      <c r="K119" s="18"/>
      <c r="L119" s="18"/>
      <c r="M119" s="18"/>
      <c r="N119" s="18"/>
      <c r="O119" s="18"/>
    </row>
    <row r="120" spans="1:15" x14ac:dyDescent="0.35">
      <c r="A120" s="15" t="s">
        <v>0</v>
      </c>
      <c r="B120" s="24" t="s">
        <v>1</v>
      </c>
      <c r="C120" s="24" t="s">
        <v>2</v>
      </c>
      <c r="D120" s="24" t="s">
        <v>3</v>
      </c>
      <c r="E120" s="24" t="s">
        <v>4</v>
      </c>
      <c r="F120" s="24" t="s">
        <v>5</v>
      </c>
      <c r="G120" s="15" t="s">
        <v>6</v>
      </c>
      <c r="H120" s="15" t="s">
        <v>7</v>
      </c>
      <c r="I120" s="15" t="s">
        <v>8</v>
      </c>
      <c r="J120" s="15" t="s">
        <v>81</v>
      </c>
      <c r="K120" s="21" t="s">
        <v>9</v>
      </c>
      <c r="L120" s="15" t="s">
        <v>82</v>
      </c>
      <c r="M120" s="21" t="s">
        <v>10</v>
      </c>
      <c r="N120" s="15" t="s">
        <v>83</v>
      </c>
      <c r="O120" s="20" t="s">
        <v>11</v>
      </c>
    </row>
    <row r="121" spans="1:15" x14ac:dyDescent="0.35">
      <c r="A121">
        <v>1</v>
      </c>
      <c r="B121">
        <v>95.39</v>
      </c>
      <c r="C121">
        <v>97.62</v>
      </c>
      <c r="D121">
        <v>95.53</v>
      </c>
      <c r="E121">
        <v>94.39</v>
      </c>
      <c r="F121">
        <v>91.05</v>
      </c>
      <c r="G121">
        <v>106727</v>
      </c>
      <c r="H121">
        <v>934804</v>
      </c>
      <c r="I121">
        <v>4</v>
      </c>
      <c r="J121" s="15"/>
      <c r="K121" s="7">
        <f>Table1042[[#This Row],[total_efficiency]]/Table1042[[#This Row],[execution_time_ms]]</f>
        <v>8.9377570811509746E-4</v>
      </c>
      <c r="L121" s="15"/>
      <c r="M121" s="7">
        <f>Table1042[[#This Row],[total_waste_mm2]]/4</f>
        <v>233701</v>
      </c>
      <c r="N121" s="15"/>
      <c r="O121">
        <f>Table1042[[#This Row],[sheet_3_eff]]-Table1042[[#This Row],[last_sheet_true_eff]]</f>
        <v>3.3400000000000034</v>
      </c>
    </row>
    <row r="122" spans="1:15" x14ac:dyDescent="0.35">
      <c r="A122">
        <v>2</v>
      </c>
      <c r="B122">
        <v>95.36</v>
      </c>
      <c r="C122">
        <v>96.52</v>
      </c>
      <c r="D122">
        <v>97.05</v>
      </c>
      <c r="E122">
        <v>94.12</v>
      </c>
      <c r="F122">
        <v>90.3</v>
      </c>
      <c r="G122">
        <v>131923</v>
      </c>
      <c r="H122">
        <v>934804</v>
      </c>
      <c r="I122">
        <v>4</v>
      </c>
      <c r="J122" s="15"/>
      <c r="K122" s="7">
        <f>Table1042[[#This Row],[total_efficiency]]/Table1042[[#This Row],[execution_time_ms]]</f>
        <v>7.2284590253405396E-4</v>
      </c>
      <c r="L122" s="15"/>
      <c r="M122" s="7">
        <f>Table1042[[#This Row],[total_waste_mm2]]/4</f>
        <v>233701</v>
      </c>
      <c r="N122" s="15"/>
      <c r="O122">
        <f>Table1042[[#This Row],[sheet_3_eff]]-Table1042[[#This Row],[last_sheet_true_eff]]</f>
        <v>3.8200000000000074</v>
      </c>
    </row>
    <row r="123" spans="1:15" x14ac:dyDescent="0.35">
      <c r="A123">
        <v>3</v>
      </c>
      <c r="B123">
        <v>93.02</v>
      </c>
      <c r="C123">
        <v>97.62</v>
      </c>
      <c r="D123">
        <v>95.82</v>
      </c>
      <c r="E123">
        <v>90.58</v>
      </c>
      <c r="F123">
        <v>80.62</v>
      </c>
      <c r="G123">
        <v>123811</v>
      </c>
      <c r="H123">
        <v>1378414</v>
      </c>
      <c r="I123">
        <v>4</v>
      </c>
      <c r="J123" s="15"/>
      <c r="K123" s="7">
        <f>Table1042[[#This Row],[total_efficiency]]/Table1042[[#This Row],[execution_time_ms]]</f>
        <v>7.5130642673106583E-4</v>
      </c>
      <c r="L123" s="15"/>
      <c r="M123" s="7">
        <f>Table1042[[#This Row],[total_waste_mm2]]/4</f>
        <v>344603.5</v>
      </c>
      <c r="N123" s="15"/>
      <c r="O123">
        <f>Table1042[[#This Row],[sheet_3_eff]]-Table1042[[#This Row],[last_sheet_true_eff]]</f>
        <v>9.9599999999999937</v>
      </c>
    </row>
    <row r="124" spans="1:15" x14ac:dyDescent="0.35">
      <c r="A124">
        <v>4</v>
      </c>
      <c r="B124">
        <v>93.39</v>
      </c>
      <c r="C124">
        <v>97.07</v>
      </c>
      <c r="D124">
        <v>94.35</v>
      </c>
      <c r="E124">
        <v>91.2</v>
      </c>
      <c r="F124">
        <v>87.07</v>
      </c>
      <c r="G124">
        <v>108212</v>
      </c>
      <c r="H124">
        <v>1294714</v>
      </c>
      <c r="I124">
        <v>4</v>
      </c>
      <c r="J124" s="15"/>
      <c r="K124" s="7">
        <f>Table1042[[#This Row],[total_efficiency]]/Table1042[[#This Row],[execution_time_ms]]</f>
        <v>8.6302812996710159E-4</v>
      </c>
      <c r="L124" s="15"/>
      <c r="M124" s="7">
        <f>Table1042[[#This Row],[total_waste_mm2]]/4</f>
        <v>323678.5</v>
      </c>
      <c r="N124" s="15"/>
      <c r="O124">
        <f>Table1042[[#This Row],[sheet_3_eff]]-Table1042[[#This Row],[last_sheet_true_eff]]</f>
        <v>4.1300000000000097</v>
      </c>
    </row>
    <row r="125" spans="1:15" x14ac:dyDescent="0.35">
      <c r="A125">
        <v>5</v>
      </c>
      <c r="B125">
        <v>95.06</v>
      </c>
      <c r="C125">
        <v>97.07</v>
      </c>
      <c r="D125">
        <v>94.35</v>
      </c>
      <c r="E125">
        <v>94.25</v>
      </c>
      <c r="F125">
        <v>93.61</v>
      </c>
      <c r="G125">
        <v>219432</v>
      </c>
      <c r="H125">
        <v>1294714</v>
      </c>
      <c r="I125">
        <v>4</v>
      </c>
      <c r="J125" s="15"/>
      <c r="K125" s="7">
        <f>Table1042[[#This Row],[total_efficiency]]/Table1042[[#This Row],[execution_time_ms]]</f>
        <v>4.3320937693681872E-4</v>
      </c>
      <c r="L125" s="15"/>
      <c r="M125" s="7">
        <f>Table1042[[#This Row],[total_waste_mm2]]/4</f>
        <v>323678.5</v>
      </c>
      <c r="N125" s="15"/>
      <c r="O125">
        <f>Table1042[[#This Row],[sheet_3_eff]]-Table1042[[#This Row],[last_sheet_true_eff]]</f>
        <v>0.64000000000000057</v>
      </c>
    </row>
    <row r="126" spans="1:15" x14ac:dyDescent="0.35">
      <c r="A126">
        <v>6</v>
      </c>
      <c r="B126">
        <v>95.42</v>
      </c>
      <c r="C126">
        <v>97.42</v>
      </c>
      <c r="D126">
        <v>96.15</v>
      </c>
      <c r="E126">
        <v>94.04</v>
      </c>
      <c r="F126">
        <v>91.17</v>
      </c>
      <c r="G126">
        <v>104971</v>
      </c>
      <c r="H126">
        <v>887374</v>
      </c>
      <c r="I126">
        <v>4</v>
      </c>
      <c r="J126" s="15"/>
      <c r="K126" s="7">
        <f>Table1042[[#This Row],[total_efficiency]]/Table1042[[#This Row],[execution_time_ms]]</f>
        <v>9.0901296548570555E-4</v>
      </c>
      <c r="L126" s="15"/>
      <c r="M126" s="7">
        <f>Table1042[[#This Row],[total_waste_mm2]]/4</f>
        <v>221843.5</v>
      </c>
      <c r="N126" s="15"/>
      <c r="O126">
        <f>Table1042[[#This Row],[sheet_3_eff]]-Table1042[[#This Row],[last_sheet_true_eff]]</f>
        <v>2.8700000000000045</v>
      </c>
    </row>
    <row r="127" spans="1:15" x14ac:dyDescent="0.35">
      <c r="A127">
        <v>7</v>
      </c>
      <c r="B127">
        <v>95.17</v>
      </c>
      <c r="C127">
        <v>97.29</v>
      </c>
      <c r="D127">
        <v>96.96</v>
      </c>
      <c r="E127">
        <v>94.2</v>
      </c>
      <c r="F127">
        <v>86.09</v>
      </c>
      <c r="G127">
        <v>131887</v>
      </c>
      <c r="H127">
        <v>934804</v>
      </c>
      <c r="I127">
        <v>4</v>
      </c>
      <c r="J127" s="15"/>
      <c r="K127" s="7">
        <f>Table1042[[#This Row],[total_efficiency]]/Table1042[[#This Row],[execution_time_ms]]</f>
        <v>7.2160258403026838E-4</v>
      </c>
      <c r="L127" s="15"/>
      <c r="M127" s="7">
        <f>Table1042[[#This Row],[total_waste_mm2]]/4</f>
        <v>233701</v>
      </c>
      <c r="N127" s="15"/>
      <c r="O127">
        <f>Table1042[[#This Row],[sheet_3_eff]]-Table1042[[#This Row],[last_sheet_true_eff]]</f>
        <v>8.11</v>
      </c>
    </row>
    <row r="128" spans="1:15" x14ac:dyDescent="0.35">
      <c r="A128">
        <v>8</v>
      </c>
      <c r="B128">
        <v>95.16</v>
      </c>
      <c r="C128">
        <v>96.73</v>
      </c>
      <c r="D128">
        <v>97.13</v>
      </c>
      <c r="E128">
        <v>93.03</v>
      </c>
      <c r="F128">
        <v>90.79</v>
      </c>
      <c r="G128">
        <v>226695</v>
      </c>
      <c r="H128">
        <v>985024</v>
      </c>
      <c r="I128">
        <v>4</v>
      </c>
      <c r="J128" s="15"/>
      <c r="K128" s="7">
        <f>Table1042[[#This Row],[total_efficiency]]/Table1042[[#This Row],[execution_time_ms]]</f>
        <v>4.1977105802951098E-4</v>
      </c>
      <c r="L128" s="15"/>
      <c r="M128" s="7">
        <f>Table1042[[#This Row],[total_waste_mm2]]/4</f>
        <v>246256</v>
      </c>
      <c r="N128" s="15"/>
      <c r="O128">
        <f>Table1042[[#This Row],[sheet_3_eff]]-Table1042[[#This Row],[last_sheet_true_eff]]</f>
        <v>2.2399999999999949</v>
      </c>
    </row>
    <row r="129" spans="1:15" x14ac:dyDescent="0.35">
      <c r="A129">
        <v>9</v>
      </c>
      <c r="B129">
        <v>94.78</v>
      </c>
      <c r="C129">
        <v>97.13</v>
      </c>
      <c r="D129">
        <v>96.09</v>
      </c>
      <c r="E129">
        <v>92.69</v>
      </c>
      <c r="F129">
        <v>90.15</v>
      </c>
      <c r="G129">
        <v>104580</v>
      </c>
      <c r="H129">
        <v>1001764</v>
      </c>
      <c r="I129">
        <v>4</v>
      </c>
      <c r="J129" s="15"/>
      <c r="K129" s="7">
        <f>Table1042[[#This Row],[total_efficiency]]/Table1042[[#This Row],[execution_time_ms]]</f>
        <v>9.062918340026774E-4</v>
      </c>
      <c r="L129" s="15"/>
      <c r="M129" s="7">
        <f>Table1042[[#This Row],[total_waste_mm2]]/4</f>
        <v>250441</v>
      </c>
      <c r="N129" s="15"/>
      <c r="O129">
        <f>Table1042[[#This Row],[sheet_3_eff]]-Table1042[[#This Row],[last_sheet_true_eff]]</f>
        <v>2.539999999999992</v>
      </c>
    </row>
    <row r="130" spans="1:15" x14ac:dyDescent="0.35">
      <c r="A130">
        <v>10</v>
      </c>
      <c r="B130">
        <v>93.52</v>
      </c>
      <c r="C130">
        <v>97.42</v>
      </c>
      <c r="D130">
        <v>94.44</v>
      </c>
      <c r="E130">
        <v>91.37</v>
      </c>
      <c r="F130">
        <v>86.58</v>
      </c>
      <c r="G130">
        <v>105401</v>
      </c>
      <c r="H130">
        <v>1339354</v>
      </c>
      <c r="I130">
        <v>4</v>
      </c>
      <c r="J130" s="15"/>
      <c r="K130" s="7">
        <f>Table1042[[#This Row],[total_efficiency]]/Table1042[[#This Row],[execution_time_ms]]</f>
        <v>8.8727810931585088E-4</v>
      </c>
      <c r="L130" s="15"/>
      <c r="M130" s="7">
        <f>Table1042[[#This Row],[total_waste_mm2]]/4</f>
        <v>334838.5</v>
      </c>
      <c r="N130" s="15"/>
      <c r="O130">
        <f>Table1042[[#This Row],[sheet_3_eff]]-Table1042[[#This Row],[last_sheet_true_eff]]</f>
        <v>4.7900000000000063</v>
      </c>
    </row>
    <row r="131" spans="1:15" x14ac:dyDescent="0.35">
      <c r="A131">
        <v>11</v>
      </c>
      <c r="B131">
        <v>94.5</v>
      </c>
      <c r="C131">
        <v>97.42</v>
      </c>
      <c r="D131">
        <v>95.17</v>
      </c>
      <c r="E131">
        <v>93.48</v>
      </c>
      <c r="F131">
        <v>87.12</v>
      </c>
      <c r="G131">
        <v>107369</v>
      </c>
      <c r="H131">
        <v>1104994</v>
      </c>
      <c r="I131">
        <v>4</v>
      </c>
      <c r="J131" s="15"/>
      <c r="K131" s="7">
        <f>Table1042[[#This Row],[total_efficiency]]/Table1042[[#This Row],[execution_time_ms]]</f>
        <v>8.8014231295811644E-4</v>
      </c>
      <c r="L131" s="15"/>
      <c r="M131" s="7">
        <f>Table1042[[#This Row],[total_waste_mm2]]/4</f>
        <v>276248.5</v>
      </c>
      <c r="N131" s="15"/>
      <c r="O131">
        <f>Table1042[[#This Row],[sheet_3_eff]]-Table1042[[#This Row],[last_sheet_true_eff]]</f>
        <v>6.3599999999999994</v>
      </c>
    </row>
    <row r="132" spans="1:15" x14ac:dyDescent="0.35">
      <c r="A132">
        <v>12</v>
      </c>
      <c r="B132">
        <v>94.13</v>
      </c>
      <c r="C132">
        <v>96.83</v>
      </c>
      <c r="D132">
        <v>96.74</v>
      </c>
      <c r="E132">
        <v>94.35</v>
      </c>
      <c r="F132">
        <v>78.78</v>
      </c>
      <c r="G132">
        <v>116376</v>
      </c>
      <c r="H132">
        <v>1289134</v>
      </c>
      <c r="I132">
        <v>4</v>
      </c>
      <c r="J132" s="15"/>
      <c r="K132" s="7">
        <f>Table1042[[#This Row],[total_efficiency]]/Table1042[[#This Row],[execution_time_ms]]</f>
        <v>8.0884374785179076E-4</v>
      </c>
      <c r="L132" s="15"/>
      <c r="M132" s="7">
        <f>Table1042[[#This Row],[total_waste_mm2]]/4</f>
        <v>322283.5</v>
      </c>
      <c r="N132" s="15"/>
      <c r="O132">
        <f>Table1042[[#This Row],[sheet_3_eff]]-Table1042[[#This Row],[last_sheet_true_eff]]</f>
        <v>15.569999999999993</v>
      </c>
    </row>
    <row r="133" spans="1:15" x14ac:dyDescent="0.35">
      <c r="A133">
        <v>13</v>
      </c>
      <c r="B133">
        <v>94.93</v>
      </c>
      <c r="C133">
        <v>97.62</v>
      </c>
      <c r="D133">
        <v>95.51</v>
      </c>
      <c r="E133">
        <v>92.4</v>
      </c>
      <c r="F133">
        <v>92.66</v>
      </c>
      <c r="G133">
        <v>106466</v>
      </c>
      <c r="H133">
        <v>1001764</v>
      </c>
      <c r="I133">
        <v>4</v>
      </c>
      <c r="J133" s="15"/>
      <c r="K133" s="7">
        <f>Table1042[[#This Row],[total_efficiency]]/Table1042[[#This Row],[execution_time_ms]]</f>
        <v>8.9164615933725331E-4</v>
      </c>
      <c r="L133" s="15"/>
      <c r="M133" s="7">
        <f>Table1042[[#This Row],[total_waste_mm2]]/4</f>
        <v>250441</v>
      </c>
      <c r="N133" s="15"/>
      <c r="O133">
        <f>Table1042[[#This Row],[sheet_3_eff]]-Table1042[[#This Row],[last_sheet_true_eff]]</f>
        <v>-0.25999999999999091</v>
      </c>
    </row>
    <row r="134" spans="1:15" x14ac:dyDescent="0.35">
      <c r="A134">
        <v>14</v>
      </c>
      <c r="B134">
        <v>93.2</v>
      </c>
      <c r="C134">
        <v>97.42</v>
      </c>
      <c r="D134">
        <v>96.13</v>
      </c>
      <c r="E134">
        <v>90.41</v>
      </c>
      <c r="F134">
        <v>82.14</v>
      </c>
      <c r="G134">
        <v>103755</v>
      </c>
      <c r="H134">
        <v>1339354</v>
      </c>
      <c r="I134">
        <v>4</v>
      </c>
      <c r="J134" s="15"/>
      <c r="K134" s="7">
        <f>Table1042[[#This Row],[total_efficiency]]/Table1042[[#This Row],[execution_time_ms]]</f>
        <v>8.9826996289335461E-4</v>
      </c>
      <c r="L134" s="15"/>
      <c r="M134" s="7">
        <f>Table1042[[#This Row],[total_waste_mm2]]/4</f>
        <v>334838.5</v>
      </c>
      <c r="N134" s="15"/>
      <c r="O134">
        <f>Table1042[[#This Row],[sheet_3_eff]]-Table1042[[#This Row],[last_sheet_true_eff]]</f>
        <v>8.269999999999996</v>
      </c>
    </row>
    <row r="135" spans="1:15" x14ac:dyDescent="0.35">
      <c r="A135">
        <v>15</v>
      </c>
      <c r="B135">
        <v>93.2</v>
      </c>
      <c r="C135">
        <v>97.07</v>
      </c>
      <c r="D135">
        <v>95.78</v>
      </c>
      <c r="E135">
        <v>91.1</v>
      </c>
      <c r="F135">
        <v>82.14</v>
      </c>
      <c r="G135">
        <v>106025</v>
      </c>
      <c r="H135">
        <v>1339354</v>
      </c>
      <c r="I135">
        <v>4</v>
      </c>
      <c r="J135" s="15"/>
      <c r="K135" s="7">
        <f>Table1042[[#This Row],[total_efficiency]]/Table1042[[#This Row],[execution_time_ms]]</f>
        <v>8.7903796274463569E-4</v>
      </c>
      <c r="L135" s="15"/>
      <c r="M135" s="7">
        <f>Table1042[[#This Row],[total_waste_mm2]]/4</f>
        <v>334838.5</v>
      </c>
      <c r="N135" s="15"/>
      <c r="O135">
        <f>Table1042[[#This Row],[sheet_3_eff]]-Table1042[[#This Row],[last_sheet_true_eff]]</f>
        <v>8.9599999999999937</v>
      </c>
    </row>
    <row r="136" spans="1:15" x14ac:dyDescent="0.35">
      <c r="A136">
        <v>16</v>
      </c>
      <c r="B136">
        <v>94.68</v>
      </c>
      <c r="C136">
        <v>95.2</v>
      </c>
      <c r="D136">
        <v>97.18</v>
      </c>
      <c r="E136">
        <v>93.71</v>
      </c>
      <c r="F136">
        <v>88.72</v>
      </c>
      <c r="G136">
        <v>134575</v>
      </c>
      <c r="H136">
        <v>1057564</v>
      </c>
      <c r="I136">
        <v>4</v>
      </c>
      <c r="J136" s="15"/>
      <c r="K136" s="7">
        <f>Table1042[[#This Row],[total_efficiency]]/Table1042[[#This Row],[execution_time_ms]]</f>
        <v>7.0354820731933869E-4</v>
      </c>
      <c r="L136" s="15"/>
      <c r="M136" s="7">
        <f>Table1042[[#This Row],[total_waste_mm2]]/4</f>
        <v>264391</v>
      </c>
      <c r="N136" s="15"/>
      <c r="O136">
        <f>Table1042[[#This Row],[sheet_3_eff]]-Table1042[[#This Row],[last_sheet_true_eff]]</f>
        <v>4.9899999999999949</v>
      </c>
    </row>
    <row r="137" spans="1:15" x14ac:dyDescent="0.35">
      <c r="A137">
        <v>17</v>
      </c>
      <c r="B137">
        <v>94.88</v>
      </c>
      <c r="C137">
        <v>96.04</v>
      </c>
      <c r="D137">
        <v>95.32</v>
      </c>
      <c r="E137">
        <v>95.38</v>
      </c>
      <c r="F137">
        <v>88.58</v>
      </c>
      <c r="G137">
        <v>118653</v>
      </c>
      <c r="H137">
        <v>1001764</v>
      </c>
      <c r="I137">
        <v>4</v>
      </c>
      <c r="J137" s="15"/>
      <c r="K137" s="7">
        <f>Table1042[[#This Row],[total_efficiency]]/Table1042[[#This Row],[execution_time_ms]]</f>
        <v>7.9964265547436634E-4</v>
      </c>
      <c r="L137" s="15"/>
      <c r="M137" s="7">
        <f>Table1042[[#This Row],[total_waste_mm2]]/4</f>
        <v>250441</v>
      </c>
      <c r="N137" s="15"/>
      <c r="O137">
        <f>Table1042[[#This Row],[sheet_3_eff]]-Table1042[[#This Row],[last_sheet_true_eff]]</f>
        <v>6.7999999999999972</v>
      </c>
    </row>
    <row r="138" spans="1:15" x14ac:dyDescent="0.35">
      <c r="A138">
        <v>18</v>
      </c>
      <c r="B138">
        <v>93.2</v>
      </c>
      <c r="C138">
        <v>97.42</v>
      </c>
      <c r="D138">
        <v>96.13</v>
      </c>
      <c r="E138">
        <v>90.41</v>
      </c>
      <c r="F138">
        <v>82.14</v>
      </c>
      <c r="G138">
        <v>111707</v>
      </c>
      <c r="H138">
        <v>1339354</v>
      </c>
      <c r="I138">
        <v>4</v>
      </c>
      <c r="J138" s="15"/>
      <c r="K138" s="7">
        <f>Table1042[[#This Row],[total_efficiency]]/Table1042[[#This Row],[execution_time_ms]]</f>
        <v>8.3432551227765499E-4</v>
      </c>
      <c r="L138" s="15"/>
      <c r="M138" s="7">
        <f>Table1042[[#This Row],[total_waste_mm2]]/4</f>
        <v>334838.5</v>
      </c>
      <c r="N138" s="15"/>
      <c r="O138">
        <f>Table1042[[#This Row],[sheet_3_eff]]-Table1042[[#This Row],[last_sheet_true_eff]]</f>
        <v>8.269999999999996</v>
      </c>
    </row>
    <row r="139" spans="1:15" x14ac:dyDescent="0.35">
      <c r="A139">
        <v>19</v>
      </c>
      <c r="B139">
        <v>94.04</v>
      </c>
      <c r="C139">
        <v>97.4</v>
      </c>
      <c r="D139">
        <v>96.17</v>
      </c>
      <c r="E139">
        <v>91.94</v>
      </c>
      <c r="F139">
        <v>84.77</v>
      </c>
      <c r="G139">
        <v>109995</v>
      </c>
      <c r="H139">
        <v>1155214</v>
      </c>
      <c r="I139">
        <v>4</v>
      </c>
      <c r="J139" s="15"/>
      <c r="K139" s="7">
        <f>Table1042[[#This Row],[total_efficiency]]/Table1042[[#This Row],[execution_time_ms]]</f>
        <v>8.5494795217964459E-4</v>
      </c>
      <c r="L139" s="15"/>
      <c r="M139" s="7">
        <f>Table1042[[#This Row],[total_waste_mm2]]/4</f>
        <v>288803.5</v>
      </c>
      <c r="N139" s="15"/>
      <c r="O139">
        <f>Table1042[[#This Row],[sheet_3_eff]]-Table1042[[#This Row],[last_sheet_true_eff]]</f>
        <v>7.1700000000000017</v>
      </c>
    </row>
    <row r="140" spans="1:15" x14ac:dyDescent="0.35">
      <c r="A140">
        <v>20</v>
      </c>
      <c r="B140">
        <v>94.91</v>
      </c>
      <c r="C140">
        <v>97.07</v>
      </c>
      <c r="D140">
        <v>95.8</v>
      </c>
      <c r="E140">
        <v>94.04</v>
      </c>
      <c r="F140">
        <v>88.39</v>
      </c>
      <c r="G140">
        <v>112658</v>
      </c>
      <c r="H140">
        <v>990604</v>
      </c>
      <c r="I140">
        <v>4</v>
      </c>
      <c r="J140" s="15"/>
      <c r="K140" s="7">
        <f>Table1042[[#This Row],[total_efficiency]]/Table1042[[#This Row],[execution_time_ms]]</f>
        <v>8.4246125441602012E-4</v>
      </c>
      <c r="L140" s="15"/>
      <c r="M140" s="7">
        <f>Table1042[[#This Row],[total_waste_mm2]]/4</f>
        <v>247651</v>
      </c>
      <c r="N140" s="15"/>
      <c r="O140">
        <f>Table1042[[#This Row],[sheet_3_eff]]-Table1042[[#This Row],[last_sheet_true_eff]]</f>
        <v>5.6500000000000057</v>
      </c>
    </row>
    <row r="141" spans="1:15" x14ac:dyDescent="0.35">
      <c r="A141">
        <v>21</v>
      </c>
      <c r="B141">
        <v>93.7</v>
      </c>
      <c r="C141">
        <v>97.62</v>
      </c>
      <c r="D141">
        <v>95.2</v>
      </c>
      <c r="E141">
        <v>93.57</v>
      </c>
      <c r="F141">
        <v>79.66</v>
      </c>
      <c r="G141">
        <v>107674</v>
      </c>
      <c r="H141">
        <v>1255654</v>
      </c>
      <c r="I141">
        <v>4</v>
      </c>
      <c r="J141" s="15"/>
      <c r="K141" s="7">
        <f>Table1042[[#This Row],[total_efficiency]]/Table1042[[#This Row],[execution_time_ms]]</f>
        <v>8.702193658636254E-4</v>
      </c>
      <c r="L141" s="15"/>
      <c r="M141" s="7">
        <f>Table1042[[#This Row],[total_waste_mm2]]/4</f>
        <v>313913.5</v>
      </c>
      <c r="N141" s="15"/>
      <c r="O141">
        <f>Table1042[[#This Row],[sheet_3_eff]]-Table1042[[#This Row],[last_sheet_true_eff]]</f>
        <v>13.909999999999997</v>
      </c>
    </row>
    <row r="142" spans="1:15" x14ac:dyDescent="0.35">
      <c r="A142">
        <v>22</v>
      </c>
      <c r="B142">
        <v>93.19</v>
      </c>
      <c r="C142">
        <v>97.13</v>
      </c>
      <c r="D142">
        <v>94.17</v>
      </c>
      <c r="E142">
        <v>93.74</v>
      </c>
      <c r="F142">
        <v>79.319999999999993</v>
      </c>
      <c r="G142">
        <v>209858</v>
      </c>
      <c r="H142">
        <v>1389574</v>
      </c>
      <c r="I142">
        <v>4</v>
      </c>
      <c r="J142" s="15"/>
      <c r="K142" s="7">
        <f>Table1042[[#This Row],[total_efficiency]]/Table1042[[#This Row],[execution_time_ms]]</f>
        <v>4.4406217537573022E-4</v>
      </c>
      <c r="L142" s="15"/>
      <c r="M142" s="7">
        <f>Table1042[[#This Row],[total_waste_mm2]]/4</f>
        <v>347393.5</v>
      </c>
      <c r="N142" s="15"/>
      <c r="O142">
        <f>Table1042[[#This Row],[sheet_3_eff]]-Table1042[[#This Row],[last_sheet_true_eff]]</f>
        <v>14.420000000000002</v>
      </c>
    </row>
    <row r="143" spans="1:15" x14ac:dyDescent="0.35">
      <c r="A143">
        <v>23</v>
      </c>
      <c r="B143">
        <v>94.32</v>
      </c>
      <c r="C143">
        <v>97.05</v>
      </c>
      <c r="D143">
        <v>95.52</v>
      </c>
      <c r="E143">
        <v>93.05</v>
      </c>
      <c r="F143">
        <v>86.77</v>
      </c>
      <c r="G143">
        <v>212377</v>
      </c>
      <c r="H143">
        <v>1096624</v>
      </c>
      <c r="I143">
        <v>4</v>
      </c>
      <c r="J143" s="15"/>
      <c r="K143" s="7">
        <f>Table1042[[#This Row],[total_efficiency]]/Table1042[[#This Row],[execution_time_ms]]</f>
        <v>4.4411588825531953E-4</v>
      </c>
      <c r="L143" s="15"/>
      <c r="M143" s="7">
        <f>Table1042[[#This Row],[total_waste_mm2]]/4</f>
        <v>274156</v>
      </c>
      <c r="N143" s="15"/>
      <c r="O143">
        <f>Table1042[[#This Row],[sheet_3_eff]]-Table1042[[#This Row],[last_sheet_true_eff]]</f>
        <v>6.2800000000000011</v>
      </c>
    </row>
    <row r="144" spans="1:15" x14ac:dyDescent="0.35">
      <c r="A144">
        <v>24</v>
      </c>
      <c r="B144">
        <v>93.46</v>
      </c>
      <c r="C144">
        <v>95.42</v>
      </c>
      <c r="D144">
        <v>92.66</v>
      </c>
      <c r="E144">
        <v>95.25</v>
      </c>
      <c r="F144">
        <v>85.78</v>
      </c>
      <c r="G144">
        <v>128123</v>
      </c>
      <c r="H144">
        <v>1305874</v>
      </c>
      <c r="I144">
        <v>4</v>
      </c>
      <c r="J144" s="15"/>
      <c r="K144" s="7">
        <f>Table1042[[#This Row],[total_efficiency]]/Table1042[[#This Row],[execution_time_ms]]</f>
        <v>7.2945528905817058E-4</v>
      </c>
      <c r="L144" s="15"/>
      <c r="M144" s="7">
        <f>Table1042[[#This Row],[total_waste_mm2]]/4</f>
        <v>326468.5</v>
      </c>
      <c r="N144" s="15"/>
      <c r="O144">
        <f>Table1042[[#This Row],[sheet_3_eff]]-Table1042[[#This Row],[last_sheet_true_eff]]</f>
        <v>9.4699999999999989</v>
      </c>
    </row>
    <row r="145" spans="1:15" x14ac:dyDescent="0.35">
      <c r="A145">
        <v>25</v>
      </c>
      <c r="B145">
        <v>92.15</v>
      </c>
      <c r="C145">
        <v>97.07</v>
      </c>
      <c r="D145">
        <v>94.63</v>
      </c>
      <c r="E145">
        <v>88.59</v>
      </c>
      <c r="F145">
        <v>83.3</v>
      </c>
      <c r="G145">
        <v>106513</v>
      </c>
      <c r="H145">
        <v>1554184</v>
      </c>
      <c r="I145">
        <v>4</v>
      </c>
      <c r="J145" s="15"/>
      <c r="K145" s="7">
        <f>Table1042[[#This Row],[total_efficiency]]/Table1042[[#This Row],[execution_time_ms]]</f>
        <v>8.651526104794721E-4</v>
      </c>
      <c r="L145" s="15"/>
      <c r="M145" s="7">
        <f>Table1042[[#This Row],[total_waste_mm2]]/4</f>
        <v>388546</v>
      </c>
      <c r="N145" s="15"/>
      <c r="O145">
        <f>Table1042[[#This Row],[sheet_3_eff]]-Table1042[[#This Row],[last_sheet_true_eff]]</f>
        <v>5.2900000000000063</v>
      </c>
    </row>
    <row r="146" spans="1:15" x14ac:dyDescent="0.35">
      <c r="A146">
        <v>26</v>
      </c>
      <c r="B146">
        <v>94.5</v>
      </c>
      <c r="C146">
        <v>97.4</v>
      </c>
      <c r="D146">
        <v>96.17</v>
      </c>
      <c r="E146">
        <v>94.17</v>
      </c>
      <c r="F146">
        <v>82.33</v>
      </c>
      <c r="G146">
        <v>103472</v>
      </c>
      <c r="H146">
        <v>1102204</v>
      </c>
      <c r="I146">
        <v>4</v>
      </c>
      <c r="J146" s="15"/>
      <c r="K146" s="7">
        <f>Table1042[[#This Row],[total_efficiency]]/Table1042[[#This Row],[execution_time_ms]]</f>
        <v>9.1329055203340031E-4</v>
      </c>
      <c r="L146" s="15"/>
      <c r="M146" s="7">
        <f>Table1042[[#This Row],[total_waste_mm2]]/4</f>
        <v>275551</v>
      </c>
      <c r="N146" s="15"/>
      <c r="O146">
        <f>Table1042[[#This Row],[sheet_3_eff]]-Table1042[[#This Row],[last_sheet_true_eff]]</f>
        <v>11.840000000000003</v>
      </c>
    </row>
    <row r="147" spans="1:15" x14ac:dyDescent="0.35">
      <c r="A147">
        <v>27</v>
      </c>
      <c r="B147">
        <v>94.06</v>
      </c>
      <c r="C147">
        <v>95.2</v>
      </c>
      <c r="D147">
        <v>97.13</v>
      </c>
      <c r="E147">
        <v>93.43</v>
      </c>
      <c r="F147">
        <v>84.24</v>
      </c>
      <c r="G147">
        <v>122132</v>
      </c>
      <c r="H147">
        <v>1155214</v>
      </c>
      <c r="I147">
        <v>4</v>
      </c>
      <c r="J147" s="15"/>
      <c r="K147" s="7">
        <f>Table1042[[#This Row],[total_efficiency]]/Table1042[[#This Row],[execution_time_ms]]</f>
        <v>7.7015032915206502E-4</v>
      </c>
      <c r="L147" s="15"/>
      <c r="M147" s="7">
        <f>Table1042[[#This Row],[total_waste_mm2]]/4</f>
        <v>288803.5</v>
      </c>
      <c r="N147" s="15"/>
      <c r="O147">
        <f>Table1042[[#This Row],[sheet_3_eff]]-Table1042[[#This Row],[last_sheet_true_eff]]</f>
        <v>9.1900000000000119</v>
      </c>
    </row>
    <row r="148" spans="1:15" x14ac:dyDescent="0.35">
      <c r="A148">
        <v>28</v>
      </c>
      <c r="B148">
        <v>93.56</v>
      </c>
      <c r="C148">
        <v>97.07</v>
      </c>
      <c r="D148">
        <v>95.82</v>
      </c>
      <c r="E148">
        <v>92.94</v>
      </c>
      <c r="F148">
        <v>80.09</v>
      </c>
      <c r="G148">
        <v>104684</v>
      </c>
      <c r="H148">
        <v>1255654</v>
      </c>
      <c r="I148">
        <v>4</v>
      </c>
      <c r="J148" s="15"/>
      <c r="K148" s="7">
        <f>Table1042[[#This Row],[total_efficiency]]/Table1042[[#This Row],[execution_time_ms]]</f>
        <v>8.9373734286041803E-4</v>
      </c>
      <c r="L148" s="15"/>
      <c r="M148" s="7">
        <f>Table1042[[#This Row],[total_waste_mm2]]/4</f>
        <v>313913.5</v>
      </c>
      <c r="N148" s="15"/>
      <c r="O148">
        <f>Table1042[[#This Row],[sheet_3_eff]]-Table1042[[#This Row],[last_sheet_true_eff]]</f>
        <v>12.849999999999994</v>
      </c>
    </row>
    <row r="149" spans="1:15" x14ac:dyDescent="0.35">
      <c r="A149">
        <v>29</v>
      </c>
      <c r="B149">
        <v>93.66</v>
      </c>
      <c r="C149">
        <v>95.65</v>
      </c>
      <c r="D149">
        <v>95.82</v>
      </c>
      <c r="E149">
        <v>92.66</v>
      </c>
      <c r="F149">
        <v>85.32</v>
      </c>
      <c r="G149">
        <v>135777</v>
      </c>
      <c r="H149">
        <v>1238914</v>
      </c>
      <c r="I149">
        <v>4</v>
      </c>
      <c r="J149" s="15"/>
      <c r="K149" s="7">
        <f>Table1042[[#This Row],[total_efficiency]]/Table1042[[#This Row],[execution_time_ms]]</f>
        <v>6.8980755208908719E-4</v>
      </c>
      <c r="L149" s="15"/>
      <c r="M149" s="7">
        <f>Table1042[[#This Row],[total_waste_mm2]]/4</f>
        <v>309728.5</v>
      </c>
      <c r="N149" s="15"/>
      <c r="O149">
        <f>Table1042[[#This Row],[sheet_3_eff]]-Table1042[[#This Row],[last_sheet_true_eff]]</f>
        <v>7.3400000000000034</v>
      </c>
    </row>
    <row r="150" spans="1:15" x14ac:dyDescent="0.35">
      <c r="A150">
        <v>30</v>
      </c>
      <c r="B150">
        <v>95</v>
      </c>
      <c r="C150">
        <v>96.58</v>
      </c>
      <c r="D150">
        <v>97.14</v>
      </c>
      <c r="E150">
        <v>93.5</v>
      </c>
      <c r="F150">
        <v>88.25</v>
      </c>
      <c r="G150">
        <v>123049</v>
      </c>
      <c r="H150">
        <v>990604</v>
      </c>
      <c r="I150">
        <v>4</v>
      </c>
      <c r="J150" s="15"/>
      <c r="K150" s="7">
        <f>Table1042[[#This Row],[total_efficiency]]/Table1042[[#This Row],[execution_time_ms]]</f>
        <v>7.7205015887979586E-4</v>
      </c>
      <c r="L150" s="15"/>
      <c r="M150" s="7">
        <f>Table1042[[#This Row],[total_waste_mm2]]/4</f>
        <v>247651</v>
      </c>
      <c r="N150" s="15"/>
      <c r="O150">
        <f>Table1042[[#This Row],[sheet_3_eff]]-Table1042[[#This Row],[last_sheet_true_eff]]</f>
        <v>5.25</v>
      </c>
    </row>
    <row r="151" spans="1:15" x14ac:dyDescent="0.35">
      <c r="A151">
        <v>31</v>
      </c>
      <c r="B151">
        <v>95.42</v>
      </c>
      <c r="C151">
        <v>96.83</v>
      </c>
      <c r="D151">
        <v>96.71</v>
      </c>
      <c r="E151">
        <v>94.06</v>
      </c>
      <c r="F151">
        <v>91.17</v>
      </c>
      <c r="G151">
        <v>114153</v>
      </c>
      <c r="H151">
        <v>887374</v>
      </c>
      <c r="I151">
        <v>4</v>
      </c>
      <c r="J151" s="15"/>
      <c r="K151" s="7">
        <f>Table1042[[#This Row],[total_efficiency]]/Table1042[[#This Row],[execution_time_ms]]</f>
        <v>8.3589568386288583E-4</v>
      </c>
      <c r="L151" s="15"/>
      <c r="M151" s="7">
        <f>Table1042[[#This Row],[total_waste_mm2]]/4</f>
        <v>221843.5</v>
      </c>
      <c r="N151" s="15"/>
      <c r="O151">
        <f>Table1042[[#This Row],[sheet_3_eff]]-Table1042[[#This Row],[last_sheet_true_eff]]</f>
        <v>2.8900000000000006</v>
      </c>
    </row>
    <row r="152" spans="1:15" x14ac:dyDescent="0.35">
      <c r="A152">
        <v>32</v>
      </c>
      <c r="B152">
        <v>93.66</v>
      </c>
      <c r="C152">
        <v>97.4</v>
      </c>
      <c r="D152">
        <v>95.45</v>
      </c>
      <c r="E152">
        <v>91.67</v>
      </c>
      <c r="F152">
        <v>84.26</v>
      </c>
      <c r="G152">
        <v>103990</v>
      </c>
      <c r="H152">
        <v>1236124</v>
      </c>
      <c r="I152">
        <v>4</v>
      </c>
      <c r="J152" s="15"/>
      <c r="K152" s="7">
        <f>Table1042[[#This Row],[total_efficiency]]/Table1042[[#This Row],[execution_time_ms]]</f>
        <v>9.0066352533897491E-4</v>
      </c>
      <c r="L152" s="15"/>
      <c r="M152" s="7">
        <f>Table1042[[#This Row],[total_waste_mm2]]/4</f>
        <v>309031</v>
      </c>
      <c r="N152" s="15"/>
      <c r="O152">
        <f>Table1042[[#This Row],[sheet_3_eff]]-Table1042[[#This Row],[last_sheet_true_eff]]</f>
        <v>7.4099999999999966</v>
      </c>
    </row>
    <row r="153" spans="1:15" x14ac:dyDescent="0.35">
      <c r="A153">
        <v>33</v>
      </c>
      <c r="B153">
        <v>94.61</v>
      </c>
      <c r="C153">
        <v>96.82</v>
      </c>
      <c r="D153">
        <v>96.01</v>
      </c>
      <c r="E153">
        <v>93.41</v>
      </c>
      <c r="F153">
        <v>87.54</v>
      </c>
      <c r="G153">
        <v>117069</v>
      </c>
      <c r="H153">
        <v>1060354</v>
      </c>
      <c r="I153">
        <v>4</v>
      </c>
      <c r="J153" s="15"/>
      <c r="K153" s="7">
        <f>Table1042[[#This Row],[total_efficiency]]/Table1042[[#This Row],[execution_time_ms]]</f>
        <v>8.0815587388634053E-4</v>
      </c>
      <c r="L153" s="15"/>
      <c r="M153" s="7">
        <f>Table1042[[#This Row],[total_waste_mm2]]/4</f>
        <v>265088.5</v>
      </c>
      <c r="N153" s="15"/>
      <c r="O153">
        <f>Table1042[[#This Row],[sheet_3_eff]]-Table1042[[#This Row],[last_sheet_true_eff]]</f>
        <v>5.8699999999999903</v>
      </c>
    </row>
    <row r="154" spans="1:15" x14ac:dyDescent="0.35">
      <c r="A154">
        <v>34</v>
      </c>
      <c r="B154">
        <v>93.1</v>
      </c>
      <c r="C154">
        <v>97.62</v>
      </c>
      <c r="D154">
        <v>94.95</v>
      </c>
      <c r="E154">
        <v>88.78</v>
      </c>
      <c r="F154">
        <v>87.98</v>
      </c>
      <c r="G154">
        <v>106942</v>
      </c>
      <c r="H154">
        <v>1389574</v>
      </c>
      <c r="I154">
        <v>4</v>
      </c>
      <c r="J154" s="15"/>
      <c r="K154" s="7">
        <f>Table1042[[#This Row],[total_efficiency]]/Table1042[[#This Row],[execution_time_ms]]</f>
        <v>8.705653531820987E-4</v>
      </c>
      <c r="L154" s="15"/>
      <c r="M154" s="7">
        <f>Table1042[[#This Row],[total_waste_mm2]]/4</f>
        <v>347393.5</v>
      </c>
      <c r="N154" s="15"/>
      <c r="O154">
        <f>Table1042[[#This Row],[sheet_3_eff]]-Table1042[[#This Row],[last_sheet_true_eff]]</f>
        <v>0.79999999999999716</v>
      </c>
    </row>
    <row r="155" spans="1:15" x14ac:dyDescent="0.35">
      <c r="A155">
        <v>35</v>
      </c>
      <c r="B155">
        <v>94.05</v>
      </c>
      <c r="C155">
        <v>97.42</v>
      </c>
      <c r="D155">
        <v>95.82</v>
      </c>
      <c r="E155">
        <v>93.18</v>
      </c>
      <c r="F155">
        <v>82.33</v>
      </c>
      <c r="G155">
        <v>212400</v>
      </c>
      <c r="H155">
        <v>1155214</v>
      </c>
      <c r="I155">
        <v>4</v>
      </c>
      <c r="J155" s="15"/>
      <c r="K155" s="7">
        <f>Table1042[[#This Row],[total_efficiency]]/Table1042[[#This Row],[execution_time_ms]]</f>
        <v>4.4279661016949151E-4</v>
      </c>
      <c r="L155" s="15"/>
      <c r="M155" s="7">
        <f>Table1042[[#This Row],[total_waste_mm2]]/4</f>
        <v>288803.5</v>
      </c>
      <c r="N155" s="15"/>
      <c r="O155">
        <f>Table1042[[#This Row],[sheet_3_eff]]-Table1042[[#This Row],[last_sheet_true_eff]]</f>
        <v>10.850000000000009</v>
      </c>
    </row>
    <row r="156" spans="1:15" x14ac:dyDescent="0.35">
      <c r="A156">
        <v>36</v>
      </c>
      <c r="B156">
        <v>95.22</v>
      </c>
      <c r="C156">
        <v>94.68</v>
      </c>
      <c r="D156">
        <v>95.68</v>
      </c>
      <c r="E156">
        <v>96.05</v>
      </c>
      <c r="F156">
        <v>92.88</v>
      </c>
      <c r="G156">
        <v>123486</v>
      </c>
      <c r="H156">
        <v>934804</v>
      </c>
      <c r="I156">
        <v>4</v>
      </c>
      <c r="J156" s="15"/>
      <c r="K156" s="7">
        <f>Table1042[[#This Row],[total_efficiency]]/Table1042[[#This Row],[execution_time_ms]]</f>
        <v>7.7109955784461395E-4</v>
      </c>
      <c r="L156" s="15"/>
      <c r="M156" s="7">
        <f>Table1042[[#This Row],[total_waste_mm2]]/4</f>
        <v>233701</v>
      </c>
      <c r="N156" s="15"/>
      <c r="O156">
        <f>Table1042[[#This Row],[sheet_3_eff]]-Table1042[[#This Row],[last_sheet_true_eff]]</f>
        <v>3.1700000000000017</v>
      </c>
    </row>
    <row r="157" spans="1:15" x14ac:dyDescent="0.35">
      <c r="A157">
        <v>37</v>
      </c>
      <c r="B157">
        <v>93.43</v>
      </c>
      <c r="C157">
        <v>97.13</v>
      </c>
      <c r="D157">
        <v>94.46</v>
      </c>
      <c r="E157">
        <v>91.29</v>
      </c>
      <c r="F157">
        <v>86.71</v>
      </c>
      <c r="G157">
        <v>104533</v>
      </c>
      <c r="H157">
        <v>1289134</v>
      </c>
      <c r="I157">
        <v>4</v>
      </c>
      <c r="J157" s="15"/>
      <c r="K157" s="7">
        <f>Table1042[[#This Row],[total_efficiency]]/Table1042[[#This Row],[execution_time_ms]]</f>
        <v>8.9378473783398554E-4</v>
      </c>
      <c r="L157" s="15"/>
      <c r="M157" s="7">
        <f>Table1042[[#This Row],[total_waste_mm2]]/4</f>
        <v>322283.5</v>
      </c>
      <c r="N157" s="15"/>
      <c r="O157">
        <f>Table1042[[#This Row],[sheet_3_eff]]-Table1042[[#This Row],[last_sheet_true_eff]]</f>
        <v>4.5800000000000125</v>
      </c>
    </row>
    <row r="158" spans="1:15" x14ac:dyDescent="0.35">
      <c r="A158">
        <v>38</v>
      </c>
      <c r="B158">
        <v>93.83</v>
      </c>
      <c r="C158">
        <v>96.83</v>
      </c>
      <c r="D158">
        <v>94.85</v>
      </c>
      <c r="E158">
        <v>92.66</v>
      </c>
      <c r="F158">
        <v>86.19</v>
      </c>
      <c r="G158">
        <v>106308</v>
      </c>
      <c r="H158">
        <v>1205434</v>
      </c>
      <c r="I158">
        <v>4</v>
      </c>
      <c r="J158" s="15"/>
      <c r="K158" s="7">
        <f>Table1042[[#This Row],[total_efficiency]]/Table1042[[#This Row],[execution_time_ms]]</f>
        <v>8.8262407344696545E-4</v>
      </c>
      <c r="L158" s="15"/>
      <c r="M158" s="7">
        <f>Table1042[[#This Row],[total_waste_mm2]]/4</f>
        <v>301358.5</v>
      </c>
      <c r="N158" s="15"/>
      <c r="O158">
        <f>Table1042[[#This Row],[sheet_3_eff]]-Table1042[[#This Row],[last_sheet_true_eff]]</f>
        <v>6.4699999999999989</v>
      </c>
    </row>
    <row r="159" spans="1:15" x14ac:dyDescent="0.35">
      <c r="A159">
        <v>39</v>
      </c>
      <c r="B159">
        <v>94.11</v>
      </c>
      <c r="C159">
        <v>97.42</v>
      </c>
      <c r="D159">
        <v>96.15</v>
      </c>
      <c r="E159">
        <v>90.41</v>
      </c>
      <c r="F159">
        <v>89.59</v>
      </c>
      <c r="G159">
        <v>105209</v>
      </c>
      <c r="H159">
        <v>1138474</v>
      </c>
      <c r="I159">
        <v>4</v>
      </c>
      <c r="J159" s="15"/>
      <c r="K159" s="7">
        <f>Table1042[[#This Row],[total_efficiency]]/Table1042[[#This Row],[execution_time_ms]]</f>
        <v>8.9450522293720123E-4</v>
      </c>
      <c r="L159" s="15"/>
      <c r="M159" s="7">
        <f>Table1042[[#This Row],[total_waste_mm2]]/4</f>
        <v>284618.5</v>
      </c>
      <c r="N159" s="15"/>
      <c r="O159">
        <f>Table1042[[#This Row],[sheet_3_eff]]-Table1042[[#This Row],[last_sheet_true_eff]]</f>
        <v>0.81999999999999318</v>
      </c>
    </row>
    <row r="160" spans="1:15" x14ac:dyDescent="0.35">
      <c r="A160">
        <v>40</v>
      </c>
      <c r="B160">
        <v>94.35</v>
      </c>
      <c r="C160">
        <v>97.62</v>
      </c>
      <c r="D160">
        <v>94.95</v>
      </c>
      <c r="E160">
        <v>92.22</v>
      </c>
      <c r="F160">
        <v>89.42</v>
      </c>
      <c r="G160">
        <v>216996</v>
      </c>
      <c r="H160">
        <v>1138474</v>
      </c>
      <c r="I160">
        <v>4</v>
      </c>
      <c r="J160" s="15"/>
      <c r="K160" s="7">
        <f>Table1042[[#This Row],[total_efficiency]]/Table1042[[#This Row],[execution_time_ms]]</f>
        <v>4.3480064148647901E-4</v>
      </c>
      <c r="L160" s="15"/>
      <c r="M160" s="7">
        <f>Table1042[[#This Row],[total_waste_mm2]]/4</f>
        <v>284618.5</v>
      </c>
      <c r="N160" s="15"/>
      <c r="O160">
        <f>Table1042[[#This Row],[sheet_3_eff]]-Table1042[[#This Row],[last_sheet_true_eff]]</f>
        <v>2.7999999999999972</v>
      </c>
    </row>
    <row r="161" spans="1:15" x14ac:dyDescent="0.35">
      <c r="A161">
        <v>41</v>
      </c>
      <c r="B161">
        <v>94.97</v>
      </c>
      <c r="C161">
        <v>97.07</v>
      </c>
      <c r="D161">
        <v>95.52</v>
      </c>
      <c r="E161">
        <v>93.15</v>
      </c>
      <c r="F161">
        <v>92.43</v>
      </c>
      <c r="G161">
        <v>103592</v>
      </c>
      <c r="H161">
        <v>1001764</v>
      </c>
      <c r="I161">
        <v>4</v>
      </c>
      <c r="J161" s="15"/>
      <c r="K161" s="7">
        <f>Table1042[[#This Row],[total_efficiency]]/Table1042[[#This Row],[execution_time_ms]]</f>
        <v>9.1676963472082788E-4</v>
      </c>
      <c r="L161" s="15"/>
      <c r="M161" s="7">
        <f>Table1042[[#This Row],[total_waste_mm2]]/4</f>
        <v>250441</v>
      </c>
      <c r="N161" s="15"/>
      <c r="O161">
        <f>Table1042[[#This Row],[sheet_3_eff]]-Table1042[[#This Row],[last_sheet_true_eff]]</f>
        <v>0.71999999999999886</v>
      </c>
    </row>
    <row r="162" spans="1:15" x14ac:dyDescent="0.35">
      <c r="A162">
        <v>42</v>
      </c>
      <c r="B162">
        <v>94.5</v>
      </c>
      <c r="C162">
        <v>97.4</v>
      </c>
      <c r="D162">
        <v>96.17</v>
      </c>
      <c r="E162">
        <v>91.6</v>
      </c>
      <c r="F162">
        <v>89.72</v>
      </c>
      <c r="G162">
        <v>104690</v>
      </c>
      <c r="H162">
        <v>1102204</v>
      </c>
      <c r="I162">
        <v>4</v>
      </c>
      <c r="J162" s="15"/>
      <c r="K162" s="7">
        <f>Table1042[[#This Row],[total_efficiency]]/Table1042[[#This Row],[execution_time_ms]]</f>
        <v>9.0266501098481232E-4</v>
      </c>
      <c r="L162" s="15"/>
      <c r="M162" s="7">
        <f>Table1042[[#This Row],[total_waste_mm2]]/4</f>
        <v>275551</v>
      </c>
      <c r="N162" s="15"/>
      <c r="O162">
        <f>Table1042[[#This Row],[sheet_3_eff]]-Table1042[[#This Row],[last_sheet_true_eff]]</f>
        <v>1.8799999999999955</v>
      </c>
    </row>
    <row r="163" spans="1:15" x14ac:dyDescent="0.35">
      <c r="A163">
        <v>43</v>
      </c>
      <c r="B163">
        <v>94.91</v>
      </c>
      <c r="C163">
        <v>97.05</v>
      </c>
      <c r="D163">
        <v>94.63</v>
      </c>
      <c r="E163">
        <v>95.23</v>
      </c>
      <c r="F163">
        <v>88.39</v>
      </c>
      <c r="G163">
        <v>105785</v>
      </c>
      <c r="H163">
        <v>990604</v>
      </c>
      <c r="I163">
        <v>4</v>
      </c>
      <c r="J163" s="15"/>
      <c r="K163" s="7">
        <f>Table1042[[#This Row],[total_efficiency]]/Table1042[[#This Row],[execution_time_ms]]</f>
        <v>8.9719714515290442E-4</v>
      </c>
      <c r="L163" s="15"/>
      <c r="M163" s="7">
        <f>Table1042[[#This Row],[total_waste_mm2]]/4</f>
        <v>247651</v>
      </c>
      <c r="N163" s="15"/>
      <c r="O163">
        <f>Table1042[[#This Row],[sheet_3_eff]]-Table1042[[#This Row],[last_sheet_true_eff]]</f>
        <v>6.8400000000000034</v>
      </c>
    </row>
    <row r="164" spans="1:15" x14ac:dyDescent="0.35">
      <c r="A164">
        <v>44</v>
      </c>
      <c r="B164">
        <v>93.48</v>
      </c>
      <c r="C164">
        <v>97.05</v>
      </c>
      <c r="D164">
        <v>95.56</v>
      </c>
      <c r="E164">
        <v>93.02</v>
      </c>
      <c r="F164">
        <v>79.95</v>
      </c>
      <c r="G164">
        <v>209879</v>
      </c>
      <c r="H164">
        <v>1289134</v>
      </c>
      <c r="I164">
        <v>4</v>
      </c>
      <c r="J164" s="15"/>
      <c r="K164" s="7">
        <f>Table1042[[#This Row],[total_efficiency]]/Table1042[[#This Row],[execution_time_ms]]</f>
        <v>4.4539949208829852E-4</v>
      </c>
      <c r="L164" s="15"/>
      <c r="M164" s="7">
        <f>Table1042[[#This Row],[total_waste_mm2]]/4</f>
        <v>322283.5</v>
      </c>
      <c r="N164" s="15"/>
      <c r="O164">
        <f>Table1042[[#This Row],[sheet_3_eff]]-Table1042[[#This Row],[last_sheet_true_eff]]</f>
        <v>13.069999999999993</v>
      </c>
    </row>
    <row r="165" spans="1:15" x14ac:dyDescent="0.35">
      <c r="A165">
        <v>45</v>
      </c>
      <c r="B165">
        <v>93.8</v>
      </c>
      <c r="C165">
        <v>96.02</v>
      </c>
      <c r="D165">
        <v>95.7</v>
      </c>
      <c r="E165">
        <v>93.02</v>
      </c>
      <c r="F165">
        <v>84.89</v>
      </c>
      <c r="G165">
        <v>122684</v>
      </c>
      <c r="H165">
        <v>1205434</v>
      </c>
      <c r="I165">
        <v>4</v>
      </c>
      <c r="J165" s="15"/>
      <c r="K165" s="7">
        <f>Table1042[[#This Row],[total_efficiency]]/Table1042[[#This Row],[execution_time_ms]]</f>
        <v>7.6456587656092067E-4</v>
      </c>
      <c r="L165" s="15"/>
      <c r="M165" s="7">
        <f>Table1042[[#This Row],[total_waste_mm2]]/4</f>
        <v>301358.5</v>
      </c>
      <c r="N165" s="15"/>
      <c r="O165">
        <f>Table1042[[#This Row],[sheet_3_eff]]-Table1042[[#This Row],[last_sheet_true_eff]]</f>
        <v>8.1299999999999955</v>
      </c>
    </row>
    <row r="166" spans="1:15" x14ac:dyDescent="0.35">
      <c r="A166">
        <v>46</v>
      </c>
      <c r="B166">
        <v>93.43</v>
      </c>
      <c r="C166">
        <v>97.13</v>
      </c>
      <c r="D166">
        <v>93.33</v>
      </c>
      <c r="E166">
        <v>92.41</v>
      </c>
      <c r="F166">
        <v>86.71</v>
      </c>
      <c r="G166">
        <v>103691</v>
      </c>
      <c r="H166">
        <v>1289134</v>
      </c>
      <c r="I166">
        <v>4</v>
      </c>
      <c r="J166" s="15"/>
      <c r="K166" s="7">
        <f>Table1042[[#This Row],[total_efficiency]]/Table1042[[#This Row],[execution_time_ms]]</f>
        <v>9.0104252056591222E-4</v>
      </c>
      <c r="L166" s="15"/>
      <c r="M166" s="7">
        <f>Table1042[[#This Row],[total_waste_mm2]]/4</f>
        <v>322283.5</v>
      </c>
      <c r="N166" s="15"/>
      <c r="O166">
        <f>Table1042[[#This Row],[sheet_3_eff]]-Table1042[[#This Row],[last_sheet_true_eff]]</f>
        <v>5.7000000000000028</v>
      </c>
    </row>
    <row r="167" spans="1:15" x14ac:dyDescent="0.35">
      <c r="A167">
        <v>47</v>
      </c>
      <c r="B167">
        <v>93.7</v>
      </c>
      <c r="C167">
        <v>94.68</v>
      </c>
      <c r="D167">
        <v>96.8</v>
      </c>
      <c r="E167">
        <v>91.84</v>
      </c>
      <c r="F167">
        <v>87.77</v>
      </c>
      <c r="G167">
        <v>116540</v>
      </c>
      <c r="H167">
        <v>1339354</v>
      </c>
      <c r="I167">
        <v>4</v>
      </c>
      <c r="J167" s="15"/>
      <c r="K167" s="7">
        <f>Table1042[[#This Row],[total_efficiency]]/Table1042[[#This Row],[execution_time_ms]]</f>
        <v>8.0401578857044792E-4</v>
      </c>
      <c r="L167" s="15"/>
      <c r="M167" s="7">
        <f>Table1042[[#This Row],[total_waste_mm2]]/4</f>
        <v>334838.5</v>
      </c>
      <c r="N167" s="15"/>
      <c r="O167">
        <f>Table1042[[#This Row],[sheet_3_eff]]-Table1042[[#This Row],[last_sheet_true_eff]]</f>
        <v>4.0700000000000074</v>
      </c>
    </row>
    <row r="168" spans="1:15" x14ac:dyDescent="0.35">
      <c r="A168">
        <v>48</v>
      </c>
      <c r="B168">
        <v>94.96</v>
      </c>
      <c r="C168">
        <v>97.42</v>
      </c>
      <c r="D168">
        <v>95.49</v>
      </c>
      <c r="E168">
        <v>94.59</v>
      </c>
      <c r="F168">
        <v>87.01</v>
      </c>
      <c r="G168">
        <v>106870</v>
      </c>
      <c r="H168">
        <v>1001764</v>
      </c>
      <c r="I168">
        <v>4</v>
      </c>
      <c r="J168" s="15"/>
      <c r="K168" s="7">
        <f>Table1042[[#This Row],[total_efficiency]]/Table1042[[#This Row],[execution_time_ms]]</f>
        <v>8.8855618976326368E-4</v>
      </c>
      <c r="L168" s="15"/>
      <c r="M168" s="7">
        <f>Table1042[[#This Row],[total_waste_mm2]]/4</f>
        <v>250441</v>
      </c>
      <c r="N168" s="15"/>
      <c r="O168">
        <f>Table1042[[#This Row],[sheet_3_eff]]-Table1042[[#This Row],[last_sheet_true_eff]]</f>
        <v>7.5799999999999983</v>
      </c>
    </row>
    <row r="169" spans="1:15" x14ac:dyDescent="0.35">
      <c r="A169">
        <v>49</v>
      </c>
      <c r="B169">
        <v>93.96</v>
      </c>
      <c r="C169">
        <v>96.52</v>
      </c>
      <c r="D169">
        <v>97.05</v>
      </c>
      <c r="E169">
        <v>90.17</v>
      </c>
      <c r="F169">
        <v>88.88</v>
      </c>
      <c r="G169">
        <v>115024</v>
      </c>
      <c r="H169">
        <v>1294714</v>
      </c>
      <c r="I169">
        <v>4</v>
      </c>
      <c r="J169" s="15"/>
      <c r="K169" s="7">
        <f>Table1042[[#This Row],[total_efficiency]]/Table1042[[#This Row],[execution_time_ms]]</f>
        <v>8.1687300041730418E-4</v>
      </c>
      <c r="L169" s="15"/>
      <c r="M169" s="7">
        <f>Table1042[[#This Row],[total_waste_mm2]]/4</f>
        <v>323678.5</v>
      </c>
      <c r="N169" s="15"/>
      <c r="O169">
        <f>Table1042[[#This Row],[sheet_3_eff]]-Table1042[[#This Row],[last_sheet_true_eff]]</f>
        <v>1.2900000000000063</v>
      </c>
    </row>
    <row r="170" spans="1:15" x14ac:dyDescent="0.35">
      <c r="A170">
        <v>50</v>
      </c>
      <c r="B170">
        <v>93.94</v>
      </c>
      <c r="C170">
        <v>96.56</v>
      </c>
      <c r="D170">
        <v>96.18</v>
      </c>
      <c r="E170">
        <v>92.47</v>
      </c>
      <c r="F170">
        <v>84.72</v>
      </c>
      <c r="G170">
        <v>116530</v>
      </c>
      <c r="H170">
        <v>1205434</v>
      </c>
      <c r="I170">
        <v>4</v>
      </c>
      <c r="J170" s="15"/>
      <c r="K170" s="7">
        <f>Table1042[[#This Row],[total_efficiency]]/Table1042[[#This Row],[execution_time_ms]]</f>
        <v>8.0614434051317252E-4</v>
      </c>
      <c r="L170" s="15"/>
      <c r="M170" s="7">
        <f>Table1042[[#This Row],[total_waste_mm2]]/4</f>
        <v>301358.5</v>
      </c>
      <c r="N170" s="15"/>
      <c r="O170">
        <f>Table1042[[#This Row],[sheet_3_eff]]-Table1042[[#This Row],[last_sheet_true_eff]]</f>
        <v>7.75</v>
      </c>
    </row>
  </sheetData>
  <mergeCells count="3">
    <mergeCell ref="A59:B60"/>
    <mergeCell ref="A52:B53"/>
    <mergeCell ref="A118:B119"/>
  </mergeCells>
  <pageMargins left="0.75" right="0.75" top="1" bottom="1" header="0.5" footer="0.5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T170"/>
  <sheetViews>
    <sheetView topLeftCell="D1" zoomScaleNormal="100" workbookViewId="0">
      <selection activeCell="I8" sqref="I8"/>
    </sheetView>
  </sheetViews>
  <sheetFormatPr defaultRowHeight="14.5" x14ac:dyDescent="0.35"/>
  <cols>
    <col min="1" max="1" width="19.08984375" style="8" customWidth="1"/>
    <col min="2" max="2" width="23.453125" customWidth="1"/>
    <col min="3" max="3" width="25.1796875" customWidth="1"/>
    <col min="4" max="4" width="24.90625" customWidth="1"/>
    <col min="5" max="5" width="19.6328125" customWidth="1"/>
    <col min="6" max="6" width="27.26953125" customWidth="1"/>
    <col min="7" max="7" width="23.54296875" customWidth="1"/>
    <col min="8" max="8" width="16.81640625" customWidth="1"/>
    <col min="9" max="9" width="24.90625" customWidth="1"/>
    <col min="20" max="20" width="17.453125" customWidth="1"/>
  </cols>
  <sheetData>
    <row r="1" spans="1:20" ht="15" thickBot="1" x14ac:dyDescent="0.4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19"/>
      <c r="K1" s="19"/>
      <c r="L1" s="19"/>
      <c r="M1" s="19"/>
      <c r="N1" s="19"/>
      <c r="O1" s="19"/>
      <c r="P1" s="19"/>
      <c r="Q1" s="19"/>
      <c r="R1" s="16" t="s">
        <v>92</v>
      </c>
      <c r="S1" s="27" t="s">
        <v>12</v>
      </c>
      <c r="T1" s="28" t="s">
        <v>20</v>
      </c>
    </row>
    <row r="2" spans="1:20" ht="15" thickTop="1" x14ac:dyDescent="0.35">
      <c r="A2" s="8">
        <f>raw_podaci!A2</f>
        <v>1</v>
      </c>
      <c r="B2" s="33">
        <f>raw_podaci!B2</f>
        <v>95.24</v>
      </c>
      <c r="C2" s="33">
        <f>raw_podaci!C2</f>
        <v>97.77</v>
      </c>
      <c r="D2" s="33">
        <f>raw_podaci!D2</f>
        <v>96.75</v>
      </c>
      <c r="E2" s="33">
        <f>raw_podaci!E2</f>
        <v>94.17</v>
      </c>
      <c r="F2" s="33">
        <f>raw_podaci!F2</f>
        <v>85.98</v>
      </c>
      <c r="G2">
        <f>raw_podaci!G2/1000</f>
        <v>91.74</v>
      </c>
      <c r="H2">
        <f>raw_podaci!H2/1000000</f>
        <v>0.93480399999999997</v>
      </c>
      <c r="I2" s="33">
        <f>raw_podaci!O2</f>
        <v>8.1899999999999977</v>
      </c>
      <c r="J2" s="19"/>
      <c r="K2" s="19"/>
      <c r="L2" s="19"/>
      <c r="M2" s="19"/>
      <c r="N2" s="19"/>
      <c r="O2" s="19"/>
      <c r="P2" s="19"/>
      <c r="Q2" s="19"/>
      <c r="R2" s="16" t="s">
        <v>101</v>
      </c>
      <c r="S2" s="3">
        <f>raw_podaci!A11</f>
        <v>10</v>
      </c>
      <c r="T2" s="29">
        <f>raw_podaci!O11</f>
        <v>0.98000000000000398</v>
      </c>
    </row>
    <row r="3" spans="1:20" x14ac:dyDescent="0.35">
      <c r="A3" s="8">
        <f>raw_podaci!A3</f>
        <v>2</v>
      </c>
      <c r="B3" s="33">
        <f>raw_podaci!B3</f>
        <v>95.13</v>
      </c>
      <c r="C3" s="33">
        <f>raw_podaci!C3</f>
        <v>97.77</v>
      </c>
      <c r="D3" s="33">
        <f>raw_podaci!D3</f>
        <v>96.57</v>
      </c>
      <c r="E3" s="33">
        <f>raw_podaci!E3</f>
        <v>92.36</v>
      </c>
      <c r="F3" s="33">
        <f>raw_podaci!F3</f>
        <v>91.15</v>
      </c>
      <c r="G3">
        <f>raw_podaci!G3/1000</f>
        <v>187.93799999999999</v>
      </c>
      <c r="H3">
        <f>raw_podaci!H3/1000000</f>
        <v>0.93480399999999997</v>
      </c>
      <c r="I3" s="33">
        <f>raw_podaci!O3</f>
        <v>1.2099999999999937</v>
      </c>
      <c r="J3" s="19"/>
      <c r="K3" s="19"/>
      <c r="L3" s="19"/>
      <c r="M3" s="19"/>
      <c r="N3" s="19"/>
      <c r="O3" s="19"/>
      <c r="P3" s="19"/>
      <c r="Q3" s="19"/>
      <c r="R3" s="16"/>
      <c r="S3" s="3">
        <f>raw_podaci!A3</f>
        <v>2</v>
      </c>
      <c r="T3" s="12">
        <f>raw_podaci!O3</f>
        <v>1.2099999999999937</v>
      </c>
    </row>
    <row r="4" spans="1:20" x14ac:dyDescent="0.35">
      <c r="A4" s="8">
        <f>raw_podaci!A4</f>
        <v>3</v>
      </c>
      <c r="B4" s="33">
        <f>raw_podaci!B4</f>
        <v>95.45</v>
      </c>
      <c r="C4" s="33">
        <f>raw_podaci!C4</f>
        <v>97.77</v>
      </c>
      <c r="D4" s="33">
        <f>raw_podaci!D4</f>
        <v>96.08</v>
      </c>
      <c r="E4" s="33">
        <f>raw_podaci!E4</f>
        <v>94.96</v>
      </c>
      <c r="F4" s="33">
        <f>raw_podaci!F4</f>
        <v>87.61</v>
      </c>
      <c r="G4">
        <f>raw_podaci!G4/1000</f>
        <v>188.76499999999999</v>
      </c>
      <c r="H4">
        <f>raw_podaci!H4/1000000</f>
        <v>0.98502400000000001</v>
      </c>
      <c r="I4" s="33">
        <f>raw_podaci!O4</f>
        <v>7.3499999999999943</v>
      </c>
      <c r="J4" s="19"/>
      <c r="K4" s="19"/>
      <c r="L4" s="19"/>
      <c r="M4" s="19"/>
      <c r="N4" s="19"/>
      <c r="O4" s="19"/>
      <c r="P4" s="19"/>
      <c r="Q4" s="19"/>
      <c r="R4" s="16"/>
      <c r="S4" s="3">
        <f>raw_podaci!A13</f>
        <v>12</v>
      </c>
      <c r="T4" s="12">
        <f>raw_podaci!O13</f>
        <v>1.2099999999999937</v>
      </c>
    </row>
    <row r="5" spans="1:20" x14ac:dyDescent="0.35">
      <c r="A5" s="8">
        <f>raw_podaci!A5</f>
        <v>4</v>
      </c>
      <c r="B5" s="33">
        <f>raw_podaci!B5</f>
        <v>94.17</v>
      </c>
      <c r="C5" s="33">
        <f>raw_podaci!C5</f>
        <v>97.77</v>
      </c>
      <c r="D5" s="33">
        <f>raw_podaci!D5</f>
        <v>95.98</v>
      </c>
      <c r="E5" s="33">
        <f>raw_podaci!E5</f>
        <v>95.8</v>
      </c>
      <c r="F5" s="33">
        <f>raw_podaci!F5</f>
        <v>74.540000000000006</v>
      </c>
      <c r="G5">
        <f>raw_podaci!G5/1000</f>
        <v>85.793000000000006</v>
      </c>
      <c r="H5">
        <f>raw_podaci!H5/1000000</f>
        <v>1.155214</v>
      </c>
      <c r="I5" s="33">
        <f>raw_podaci!O5</f>
        <v>21.259999999999991</v>
      </c>
      <c r="J5" s="19"/>
      <c r="K5" s="19"/>
      <c r="L5" s="19"/>
      <c r="M5" s="19"/>
      <c r="N5" s="19"/>
      <c r="O5" s="19"/>
      <c r="P5" s="19"/>
      <c r="Q5" s="19"/>
      <c r="R5" s="16"/>
      <c r="S5" s="3">
        <f>raw_podaci!A14</f>
        <v>13</v>
      </c>
      <c r="T5" s="12">
        <f>raw_podaci!O14</f>
        <v>1.2099999999999937</v>
      </c>
    </row>
    <row r="6" spans="1:20" x14ac:dyDescent="0.35">
      <c r="A6" s="8">
        <f>raw_podaci!A6</f>
        <v>5</v>
      </c>
      <c r="B6" s="33">
        <f>raw_podaci!B6</f>
        <v>95.12</v>
      </c>
      <c r="C6" s="33">
        <f>raw_podaci!C6</f>
        <v>97.77</v>
      </c>
      <c r="D6" s="33">
        <f>raw_podaci!D6</f>
        <v>96.42</v>
      </c>
      <c r="E6" s="33">
        <f>raw_podaci!E6</f>
        <v>94.02</v>
      </c>
      <c r="F6" s="33">
        <f>raw_podaci!F6</f>
        <v>86.38</v>
      </c>
      <c r="G6">
        <f>raw_podaci!G6/1000</f>
        <v>92.513999999999996</v>
      </c>
      <c r="H6">
        <f>raw_podaci!H6/1000000</f>
        <v>0.93480399999999997</v>
      </c>
      <c r="I6" s="33">
        <f>raw_podaci!O6</f>
        <v>7.6400000000000006</v>
      </c>
      <c r="J6" s="19"/>
      <c r="K6" s="19"/>
      <c r="L6" s="19"/>
      <c r="M6" s="19"/>
      <c r="N6" s="19"/>
      <c r="O6" s="19"/>
      <c r="P6" s="19"/>
      <c r="Q6" s="19"/>
      <c r="R6" s="16"/>
      <c r="S6" s="3">
        <f>raw_podaci!A46</f>
        <v>45</v>
      </c>
      <c r="T6" s="12">
        <f>raw_podaci!O46</f>
        <v>1.2099999999999937</v>
      </c>
    </row>
    <row r="7" spans="1:20" x14ac:dyDescent="0.35">
      <c r="A7" s="8">
        <f>raw_podaci!A7</f>
        <v>6</v>
      </c>
      <c r="B7" s="33">
        <f>raw_podaci!B7</f>
        <v>94.4</v>
      </c>
      <c r="C7" s="33">
        <f>raw_podaci!C7</f>
        <v>97.77</v>
      </c>
      <c r="D7" s="33">
        <f>raw_podaci!D7</f>
        <v>96.35</v>
      </c>
      <c r="E7" s="33">
        <f>raw_podaci!E7</f>
        <v>95.1</v>
      </c>
      <c r="F7" s="33">
        <f>raw_podaci!F7</f>
        <v>77.3</v>
      </c>
      <c r="G7">
        <f>raw_podaci!G7/1000</f>
        <v>91.662000000000006</v>
      </c>
      <c r="H7">
        <f>raw_podaci!H7/1000000</f>
        <v>1.104994</v>
      </c>
      <c r="I7" s="33">
        <f>raw_podaci!O7</f>
        <v>17.799999999999997</v>
      </c>
      <c r="J7" s="19"/>
      <c r="K7" s="19"/>
      <c r="L7" s="19"/>
      <c r="M7" s="19"/>
      <c r="N7" s="19"/>
      <c r="O7" s="19"/>
      <c r="P7" s="19"/>
      <c r="Q7" s="19"/>
      <c r="R7" s="16"/>
      <c r="S7" s="3">
        <f>raw_podaci!A27</f>
        <v>26</v>
      </c>
      <c r="T7" s="12">
        <f>raw_podaci!O27</f>
        <v>1.8199999999999932</v>
      </c>
    </row>
    <row r="8" spans="1:20" x14ac:dyDescent="0.35">
      <c r="A8" s="8">
        <f>raw_podaci!A8</f>
        <v>7</v>
      </c>
      <c r="B8" s="33">
        <f>raw_podaci!B8</f>
        <v>93.86</v>
      </c>
      <c r="C8" s="33">
        <f>raw_podaci!C8</f>
        <v>97.77</v>
      </c>
      <c r="D8" s="33">
        <f>raw_podaci!D8</f>
        <v>95.78</v>
      </c>
      <c r="E8" s="33">
        <f>raw_podaci!E8</f>
        <v>94.38</v>
      </c>
      <c r="F8" s="33">
        <f>raw_podaci!F8</f>
        <v>76.7</v>
      </c>
      <c r="G8">
        <f>raw_podaci!G8/1000</f>
        <v>86.366</v>
      </c>
      <c r="H8">
        <f>raw_podaci!H8/1000000</f>
        <v>1.2054339999999999</v>
      </c>
      <c r="I8" s="33">
        <f>raw_podaci!O8</f>
        <v>17.679999999999993</v>
      </c>
      <c r="J8" s="19"/>
      <c r="K8" s="19"/>
      <c r="L8" s="19"/>
      <c r="M8" s="19"/>
      <c r="N8" s="19"/>
      <c r="O8" s="19"/>
      <c r="P8" s="19"/>
      <c r="Q8" s="19"/>
      <c r="R8" s="16"/>
      <c r="S8" s="3">
        <f>raw_podaci!A45</f>
        <v>44</v>
      </c>
      <c r="T8" s="12">
        <f>raw_podaci!O45</f>
        <v>3.2099999999999937</v>
      </c>
    </row>
    <row r="9" spans="1:20" x14ac:dyDescent="0.35">
      <c r="A9" s="8">
        <f>raw_podaci!A9</f>
        <v>8</v>
      </c>
      <c r="B9" s="33">
        <f>raw_podaci!B9</f>
        <v>95.9</v>
      </c>
      <c r="C9" s="33">
        <f>raw_podaci!C9</f>
        <v>97.77</v>
      </c>
      <c r="D9" s="33">
        <f>raw_podaci!D9</f>
        <v>96.75</v>
      </c>
      <c r="E9" s="33">
        <f>raw_podaci!E9</f>
        <v>95.36</v>
      </c>
      <c r="F9" s="33">
        <f>raw_podaci!F9</f>
        <v>88.65</v>
      </c>
      <c r="G9">
        <f>raw_podaci!G9/1000</f>
        <v>86.375</v>
      </c>
      <c r="H9">
        <f>raw_podaci!H9/1000000</f>
        <v>0.88458400000000004</v>
      </c>
      <c r="I9" s="33">
        <f>raw_podaci!O9</f>
        <v>6.7099999999999937</v>
      </c>
      <c r="J9" s="19"/>
      <c r="K9" s="19"/>
      <c r="L9" s="19"/>
      <c r="M9" s="19"/>
      <c r="N9" s="19"/>
      <c r="O9" s="19"/>
      <c r="P9" s="19"/>
      <c r="Q9" s="19"/>
      <c r="R9" s="16"/>
      <c r="S9" s="3">
        <f>raw_podaci!A38</f>
        <v>37</v>
      </c>
      <c r="T9" s="12">
        <f>raw_podaci!O38</f>
        <v>3.5</v>
      </c>
    </row>
    <row r="10" spans="1:20" x14ac:dyDescent="0.35">
      <c r="A10" s="8">
        <f>raw_podaci!A10</f>
        <v>9</v>
      </c>
      <c r="B10" s="33">
        <f>raw_podaci!B10</f>
        <v>95.9</v>
      </c>
      <c r="C10" s="33">
        <f>raw_podaci!C10</f>
        <v>97.77</v>
      </c>
      <c r="D10" s="33">
        <f>raw_podaci!D10</f>
        <v>96.75</v>
      </c>
      <c r="E10" s="33">
        <f>raw_podaci!E10</f>
        <v>95.36</v>
      </c>
      <c r="F10" s="33">
        <f>raw_podaci!F10</f>
        <v>88.65</v>
      </c>
      <c r="G10">
        <f>raw_podaci!G10/1000</f>
        <v>86.805999999999997</v>
      </c>
      <c r="H10">
        <f>raw_podaci!H10/1000000</f>
        <v>0.88458400000000004</v>
      </c>
      <c r="I10" s="33">
        <f>raw_podaci!O10</f>
        <v>6.7099999999999937</v>
      </c>
      <c r="J10" s="19"/>
      <c r="K10" s="19"/>
      <c r="L10" s="19"/>
      <c r="M10" s="19"/>
      <c r="N10" s="19"/>
      <c r="O10" s="19"/>
      <c r="P10" s="19"/>
      <c r="Q10" s="19"/>
      <c r="R10" s="16"/>
      <c r="S10" s="3">
        <f>raw_podaci!A26</f>
        <v>25</v>
      </c>
      <c r="T10" s="12">
        <f>raw_podaci!O26</f>
        <v>4.1799999999999926</v>
      </c>
    </row>
    <row r="11" spans="1:20" x14ac:dyDescent="0.35">
      <c r="A11" s="8">
        <f>raw_podaci!A11</f>
        <v>10</v>
      </c>
      <c r="B11" s="33">
        <f>raw_podaci!B11</f>
        <v>96.32</v>
      </c>
      <c r="C11" s="33">
        <f>raw_podaci!C11</f>
        <v>97.77</v>
      </c>
      <c r="D11" s="33">
        <f>raw_podaci!D11</f>
        <v>96.67</v>
      </c>
      <c r="E11" s="33">
        <f>raw_podaci!E11</f>
        <v>95.14</v>
      </c>
      <c r="F11" s="33">
        <f>raw_podaci!F11</f>
        <v>94.16</v>
      </c>
      <c r="G11">
        <f>raw_podaci!G11/1000</f>
        <v>86.498000000000005</v>
      </c>
      <c r="H11">
        <f>raw_podaci!H11/1000000</f>
        <v>0.73392400000000002</v>
      </c>
      <c r="I11" s="33">
        <f>raw_podaci!O11</f>
        <v>0.98000000000000398</v>
      </c>
      <c r="J11" s="19"/>
      <c r="K11" s="19"/>
      <c r="L11" s="19"/>
      <c r="M11" s="19"/>
      <c r="N11" s="19"/>
      <c r="O11" s="19"/>
      <c r="P11" s="19"/>
      <c r="Q11" s="19"/>
      <c r="R11" s="16"/>
      <c r="S11" s="3">
        <f>raw_podaci!A18</f>
        <v>17</v>
      </c>
      <c r="T11" s="12">
        <f>raw_podaci!O18</f>
        <v>4.1899999999999977</v>
      </c>
    </row>
    <row r="12" spans="1:20" x14ac:dyDescent="0.35">
      <c r="A12" s="8">
        <f>raw_podaci!A12</f>
        <v>11</v>
      </c>
      <c r="B12" s="33">
        <f>raw_podaci!B12</f>
        <v>94.17</v>
      </c>
      <c r="C12" s="33">
        <f>raw_podaci!C12</f>
        <v>97.77</v>
      </c>
      <c r="D12" s="33">
        <f>raw_podaci!D12</f>
        <v>96.75</v>
      </c>
      <c r="E12" s="33">
        <f>raw_podaci!E12</f>
        <v>94.33</v>
      </c>
      <c r="F12" s="33">
        <f>raw_podaci!F12</f>
        <v>76.5</v>
      </c>
      <c r="G12">
        <f>raw_podaci!G12/1000</f>
        <v>86.540999999999997</v>
      </c>
      <c r="H12">
        <f>raw_podaci!H12/1000000</f>
        <v>1.155214</v>
      </c>
      <c r="I12" s="33">
        <f>raw_podaci!O12</f>
        <v>17.829999999999998</v>
      </c>
      <c r="J12" s="19"/>
      <c r="K12" s="19"/>
      <c r="L12" s="19"/>
      <c r="M12" s="19"/>
      <c r="N12" s="19"/>
      <c r="O12" s="19"/>
      <c r="P12" s="19"/>
      <c r="Q12" s="19"/>
      <c r="R12" s="16"/>
      <c r="S12" s="3">
        <f>raw_podaci!A16</f>
        <v>15</v>
      </c>
      <c r="T12" s="12">
        <f>raw_podaci!O16</f>
        <v>5.2600000000000051</v>
      </c>
    </row>
    <row r="13" spans="1:20" x14ac:dyDescent="0.35">
      <c r="A13" s="8">
        <f>raw_podaci!A13</f>
        <v>12</v>
      </c>
      <c r="B13" s="33">
        <f>raw_podaci!B13</f>
        <v>96.31</v>
      </c>
      <c r="C13" s="33">
        <f>raw_podaci!C13</f>
        <v>97.77</v>
      </c>
      <c r="D13" s="33">
        <f>raw_podaci!D13</f>
        <v>96.75</v>
      </c>
      <c r="E13" s="33">
        <f>raw_podaci!E13</f>
        <v>95.1</v>
      </c>
      <c r="F13" s="33">
        <f>raw_podaci!F13</f>
        <v>93.89</v>
      </c>
      <c r="G13">
        <f>raw_podaci!G13/1000</f>
        <v>86.278000000000006</v>
      </c>
      <c r="H13">
        <f>raw_podaci!H13/1000000</f>
        <v>1.211014</v>
      </c>
      <c r="I13" s="33">
        <f>raw_podaci!O13</f>
        <v>1.2099999999999937</v>
      </c>
      <c r="J13" s="19"/>
      <c r="K13" s="19"/>
      <c r="L13" s="19"/>
      <c r="M13" s="19"/>
      <c r="N13" s="19"/>
      <c r="O13" s="19"/>
      <c r="P13" s="19"/>
      <c r="Q13" s="19"/>
      <c r="R13" s="16"/>
      <c r="S13" s="3">
        <f>raw_podaci!A42</f>
        <v>41</v>
      </c>
      <c r="T13" s="12">
        <f>raw_podaci!O42</f>
        <v>5.3199999999999932</v>
      </c>
    </row>
    <row r="14" spans="1:20" x14ac:dyDescent="0.35">
      <c r="A14" s="8">
        <f>raw_podaci!A14</f>
        <v>13</v>
      </c>
      <c r="B14" s="33">
        <f>raw_podaci!B14</f>
        <v>96.31</v>
      </c>
      <c r="C14" s="33">
        <f>raw_podaci!C14</f>
        <v>97.77</v>
      </c>
      <c r="D14" s="33">
        <f>raw_podaci!D14</f>
        <v>96.75</v>
      </c>
      <c r="E14" s="33">
        <f>raw_podaci!E14</f>
        <v>95.1</v>
      </c>
      <c r="F14" s="33">
        <f>raw_podaci!F14</f>
        <v>93.89</v>
      </c>
      <c r="G14">
        <f>raw_podaci!G14/1000</f>
        <v>86.061000000000007</v>
      </c>
      <c r="H14">
        <f>raw_podaci!H14/1000000</f>
        <v>1.211014</v>
      </c>
      <c r="I14" s="33">
        <f>raw_podaci!O14</f>
        <v>1.2099999999999937</v>
      </c>
      <c r="J14" s="19"/>
      <c r="K14" s="19"/>
      <c r="L14" s="19"/>
      <c r="M14" s="19"/>
      <c r="N14" s="19"/>
      <c r="O14" s="19"/>
      <c r="P14" s="19"/>
      <c r="Q14" s="19"/>
      <c r="R14" s="16"/>
      <c r="S14" s="3">
        <f>raw_podaci!A30</f>
        <v>29</v>
      </c>
      <c r="T14" s="12">
        <f>raw_podaci!O30</f>
        <v>6.039999999999992</v>
      </c>
    </row>
    <row r="15" spans="1:20" x14ac:dyDescent="0.35">
      <c r="A15" s="8">
        <f>raw_podaci!A15</f>
        <v>14</v>
      </c>
      <c r="B15" s="33">
        <f>raw_podaci!B15</f>
        <v>95.35</v>
      </c>
      <c r="C15" s="33">
        <f>raw_podaci!C15</f>
        <v>97.77</v>
      </c>
      <c r="D15" s="33">
        <f>raw_podaci!D15</f>
        <v>96.02</v>
      </c>
      <c r="E15" s="33">
        <f>raw_podaci!E15</f>
        <v>96.08</v>
      </c>
      <c r="F15" s="33">
        <f>raw_podaci!F15</f>
        <v>83.3</v>
      </c>
      <c r="G15">
        <f>raw_podaci!G15/1000</f>
        <v>183.91300000000001</v>
      </c>
      <c r="H15">
        <f>raw_podaci!H15/1000000</f>
        <v>0.887374</v>
      </c>
      <c r="I15" s="33">
        <f>raw_podaci!O15</f>
        <v>12.780000000000001</v>
      </c>
      <c r="J15" s="19"/>
      <c r="K15" s="19"/>
      <c r="L15" s="19"/>
      <c r="M15" s="19"/>
      <c r="N15" s="19"/>
      <c r="O15" s="19"/>
      <c r="P15" s="19"/>
      <c r="Q15" s="19"/>
      <c r="R15" s="16"/>
      <c r="S15" s="3">
        <f>raw_podaci!A23</f>
        <v>22</v>
      </c>
      <c r="T15" s="12">
        <f>raw_podaci!O23</f>
        <v>6.2600000000000051</v>
      </c>
    </row>
    <row r="16" spans="1:20" x14ac:dyDescent="0.35">
      <c r="A16" s="8">
        <f>raw_podaci!A16</f>
        <v>15</v>
      </c>
      <c r="B16" s="33">
        <f>raw_podaci!B16</f>
        <v>95.31</v>
      </c>
      <c r="C16" s="33">
        <f>raw_podaci!C16</f>
        <v>97.77</v>
      </c>
      <c r="D16" s="33">
        <f>raw_podaci!D16</f>
        <v>96.56</v>
      </c>
      <c r="E16" s="33">
        <f>raw_podaci!E16</f>
        <v>93.78</v>
      </c>
      <c r="F16" s="33">
        <f>raw_podaci!F16</f>
        <v>88.52</v>
      </c>
      <c r="G16">
        <f>raw_podaci!G16/1000</f>
        <v>92.308999999999997</v>
      </c>
      <c r="H16">
        <f>raw_podaci!H16/1000000</f>
        <v>0.93480399999999997</v>
      </c>
      <c r="I16" s="33">
        <f>raw_podaci!O16</f>
        <v>5.2600000000000051</v>
      </c>
      <c r="J16" s="19"/>
      <c r="K16" s="19"/>
      <c r="L16" s="19"/>
      <c r="M16" s="19"/>
      <c r="N16" s="19"/>
      <c r="O16" s="19"/>
      <c r="P16" s="19"/>
      <c r="Q16" s="19"/>
      <c r="R16" s="16"/>
      <c r="S16" s="3">
        <f>raw_podaci!A37</f>
        <v>36</v>
      </c>
      <c r="T16" s="12">
        <f>raw_podaci!O37</f>
        <v>6.2900000000000063</v>
      </c>
    </row>
    <row r="17" spans="1:20" x14ac:dyDescent="0.35">
      <c r="A17" s="8">
        <f>raw_podaci!A17</f>
        <v>16</v>
      </c>
      <c r="B17" s="33">
        <f>raw_podaci!B17</f>
        <v>94.83</v>
      </c>
      <c r="C17" s="33">
        <f>raw_podaci!C17</f>
        <v>97.4</v>
      </c>
      <c r="D17" s="33">
        <f>raw_podaci!D17</f>
        <v>96.31</v>
      </c>
      <c r="E17" s="33">
        <f>raw_podaci!E17</f>
        <v>96.06</v>
      </c>
      <c r="F17" s="33">
        <f>raw_podaci!F17</f>
        <v>79.12</v>
      </c>
      <c r="G17">
        <f>raw_podaci!G17/1000</f>
        <v>88.683999999999997</v>
      </c>
      <c r="H17">
        <f>raw_podaci!H17/1000000</f>
        <v>1.138474</v>
      </c>
      <c r="I17" s="33">
        <f>raw_podaci!O17</f>
        <v>16.939999999999998</v>
      </c>
      <c r="J17" s="19"/>
      <c r="K17" s="19"/>
      <c r="L17" s="19"/>
      <c r="M17" s="19"/>
      <c r="N17" s="19"/>
      <c r="O17" s="19"/>
      <c r="P17" s="19"/>
      <c r="Q17" s="19"/>
      <c r="R17" s="16"/>
      <c r="S17" s="3">
        <f>raw_podaci!A34</f>
        <v>33</v>
      </c>
      <c r="T17" s="12">
        <f>raw_podaci!O34</f>
        <v>6.5900000000000034</v>
      </c>
    </row>
    <row r="18" spans="1:20" x14ac:dyDescent="0.35">
      <c r="A18" s="8">
        <f>raw_podaci!A18</f>
        <v>17</v>
      </c>
      <c r="B18" s="33">
        <f>raw_podaci!B18</f>
        <v>95.15</v>
      </c>
      <c r="C18" s="33">
        <f>raw_podaci!C18</f>
        <v>97.77</v>
      </c>
      <c r="D18" s="33">
        <f>raw_podaci!D18</f>
        <v>95.91</v>
      </c>
      <c r="E18" s="33">
        <f>raw_podaci!E18</f>
        <v>93.62</v>
      </c>
      <c r="F18" s="33">
        <f>raw_podaci!F18</f>
        <v>89.43</v>
      </c>
      <c r="G18">
        <f>raw_podaci!G18/1000</f>
        <v>93.069000000000003</v>
      </c>
      <c r="H18">
        <f>raw_podaci!H18/1000000</f>
        <v>0.93480399999999997</v>
      </c>
      <c r="I18" s="33">
        <f>raw_podaci!O18</f>
        <v>4.1899999999999977</v>
      </c>
      <c r="J18" s="19"/>
      <c r="K18" s="19"/>
      <c r="L18" s="19"/>
      <c r="M18" s="19"/>
      <c r="N18" s="19"/>
      <c r="O18" s="19"/>
      <c r="P18" s="19"/>
      <c r="Q18" s="19"/>
      <c r="R18" s="16"/>
      <c r="S18" s="3">
        <f>raw_podaci!A9</f>
        <v>8</v>
      </c>
      <c r="T18" s="12">
        <f>raw_podaci!O9</f>
        <v>6.7099999999999937</v>
      </c>
    </row>
    <row r="19" spans="1:20" x14ac:dyDescent="0.35">
      <c r="A19" s="8">
        <f>raw_podaci!A19</f>
        <v>18</v>
      </c>
      <c r="B19" s="33">
        <f>raw_podaci!B19</f>
        <v>95.16</v>
      </c>
      <c r="C19" s="33">
        <f>raw_podaci!C19</f>
        <v>97.75</v>
      </c>
      <c r="D19" s="33">
        <f>raw_podaci!D19</f>
        <v>96.78</v>
      </c>
      <c r="E19" s="33">
        <f>raw_podaci!E19</f>
        <v>94.52</v>
      </c>
      <c r="F19" s="33">
        <f>raw_podaci!F19</f>
        <v>84.17</v>
      </c>
      <c r="G19">
        <f>raw_podaci!G19/1000</f>
        <v>91.677000000000007</v>
      </c>
      <c r="H19">
        <f>raw_podaci!H19/1000000</f>
        <v>0.93480399999999997</v>
      </c>
      <c r="I19" s="33">
        <f>raw_podaci!O19</f>
        <v>10.349999999999994</v>
      </c>
      <c r="J19" s="19"/>
      <c r="K19" s="19"/>
      <c r="L19" s="19"/>
      <c r="M19" s="19"/>
      <c r="N19" s="19"/>
      <c r="O19" s="19"/>
      <c r="P19" s="19"/>
      <c r="Q19" s="19"/>
      <c r="R19" s="16"/>
      <c r="S19" s="3">
        <f>raw_podaci!A10</f>
        <v>9</v>
      </c>
      <c r="T19" s="12">
        <f>raw_podaci!O10</f>
        <v>6.7099999999999937</v>
      </c>
    </row>
    <row r="20" spans="1:20" x14ac:dyDescent="0.35">
      <c r="A20" s="8">
        <f>raw_podaci!A20</f>
        <v>19</v>
      </c>
      <c r="B20" s="33">
        <f>raw_podaci!B20</f>
        <v>95.1</v>
      </c>
      <c r="C20" s="33">
        <f>raw_podaci!C20</f>
        <v>97.77</v>
      </c>
      <c r="D20" s="33">
        <f>raw_podaci!D20</f>
        <v>95.8</v>
      </c>
      <c r="E20" s="33">
        <f>raw_podaci!E20</f>
        <v>94.69</v>
      </c>
      <c r="F20" s="33">
        <f>raw_podaci!F20</f>
        <v>86.01</v>
      </c>
      <c r="G20">
        <f>raw_podaci!G20/1000</f>
        <v>94.971000000000004</v>
      </c>
      <c r="H20">
        <f>raw_podaci!H20/1000000</f>
        <v>1.1607940000000001</v>
      </c>
      <c r="I20" s="33">
        <f>raw_podaci!O20</f>
        <v>8.6799999999999926</v>
      </c>
      <c r="J20" s="19"/>
      <c r="K20" s="19"/>
      <c r="L20" s="19"/>
      <c r="M20" s="19"/>
      <c r="N20" s="19"/>
      <c r="O20" s="19"/>
      <c r="P20" s="19"/>
      <c r="Q20" s="19"/>
      <c r="R20" s="16"/>
      <c r="S20" s="3">
        <f>raw_podaci!A21</f>
        <v>20</v>
      </c>
      <c r="T20" s="12">
        <f>raw_podaci!O21</f>
        <v>6.7099999999999937</v>
      </c>
    </row>
    <row r="21" spans="1:20" x14ac:dyDescent="0.35">
      <c r="A21" s="8">
        <f>raw_podaci!A21</f>
        <v>20</v>
      </c>
      <c r="B21" s="33">
        <f>raw_podaci!B21</f>
        <v>95.9</v>
      </c>
      <c r="C21" s="33">
        <f>raw_podaci!C21</f>
        <v>97.77</v>
      </c>
      <c r="D21" s="33">
        <f>raw_podaci!D21</f>
        <v>96.75</v>
      </c>
      <c r="E21" s="33">
        <f>raw_podaci!E21</f>
        <v>95.36</v>
      </c>
      <c r="F21" s="33">
        <f>raw_podaci!F21</f>
        <v>88.65</v>
      </c>
      <c r="G21">
        <f>raw_podaci!G21/1000</f>
        <v>86.867000000000004</v>
      </c>
      <c r="H21">
        <f>raw_podaci!H21/1000000</f>
        <v>0.88458400000000004</v>
      </c>
      <c r="I21" s="33">
        <f>raw_podaci!O21</f>
        <v>6.7099999999999937</v>
      </c>
      <c r="J21" s="19"/>
      <c r="K21" s="19"/>
      <c r="L21" s="19"/>
      <c r="M21" s="19"/>
      <c r="N21" s="19"/>
      <c r="O21" s="19"/>
      <c r="P21" s="19"/>
      <c r="Q21" s="19"/>
      <c r="R21" s="16"/>
      <c r="S21" s="3">
        <f>raw_podaci!A29</f>
        <v>28</v>
      </c>
      <c r="T21" s="12">
        <f>raw_podaci!O29</f>
        <v>6.7099999999999937</v>
      </c>
    </row>
    <row r="22" spans="1:20" x14ac:dyDescent="0.35">
      <c r="A22" s="8">
        <f>raw_podaci!A22</f>
        <v>21</v>
      </c>
      <c r="B22" s="33">
        <f>raw_podaci!B22</f>
        <v>94.47</v>
      </c>
      <c r="C22" s="33">
        <f>raw_podaci!C22</f>
        <v>97.77</v>
      </c>
      <c r="D22" s="33">
        <f>raw_podaci!D22</f>
        <v>96.89</v>
      </c>
      <c r="E22" s="33">
        <f>raw_podaci!E22</f>
        <v>94.97</v>
      </c>
      <c r="F22" s="33">
        <f>raw_podaci!F22</f>
        <v>76.63</v>
      </c>
      <c r="G22">
        <f>raw_podaci!G22/1000</f>
        <v>91.49</v>
      </c>
      <c r="H22">
        <f>raw_podaci!H22/1000000</f>
        <v>1.104994</v>
      </c>
      <c r="I22" s="33">
        <f>raw_podaci!O22</f>
        <v>18.340000000000003</v>
      </c>
      <c r="J22" s="19"/>
      <c r="K22" s="19"/>
      <c r="L22" s="19"/>
      <c r="M22" s="19"/>
      <c r="N22" s="19"/>
      <c r="O22" s="19"/>
      <c r="P22" s="19"/>
      <c r="Q22" s="19"/>
      <c r="R22" s="16"/>
      <c r="S22" s="3">
        <f>raw_podaci!A4</f>
        <v>3</v>
      </c>
      <c r="T22" s="12">
        <f>raw_podaci!O4</f>
        <v>7.3499999999999943</v>
      </c>
    </row>
    <row r="23" spans="1:20" x14ac:dyDescent="0.35">
      <c r="A23" s="8">
        <f>raw_podaci!A23</f>
        <v>22</v>
      </c>
      <c r="B23" s="33">
        <f>raw_podaci!B23</f>
        <v>95.04</v>
      </c>
      <c r="C23" s="33">
        <f>raw_podaci!C23</f>
        <v>97.77</v>
      </c>
      <c r="D23" s="33">
        <f>raw_podaci!D23</f>
        <v>96.16</v>
      </c>
      <c r="E23" s="33">
        <f>raw_podaci!E23</f>
        <v>93.7</v>
      </c>
      <c r="F23" s="33">
        <f>raw_podaci!F23</f>
        <v>87.44</v>
      </c>
      <c r="G23">
        <f>raw_podaci!G23/1000</f>
        <v>87.438000000000002</v>
      </c>
      <c r="H23">
        <f>raw_podaci!H23/1000000</f>
        <v>1.2054339999999999</v>
      </c>
      <c r="I23" s="33">
        <f>raw_podaci!O23</f>
        <v>6.2600000000000051</v>
      </c>
      <c r="J23" s="19"/>
      <c r="K23" s="19"/>
      <c r="L23" s="19"/>
      <c r="M23" s="19"/>
      <c r="N23" s="19"/>
      <c r="O23" s="19"/>
      <c r="P23" s="19"/>
      <c r="Q23" s="19"/>
      <c r="R23" s="16"/>
      <c r="S23" s="3">
        <f>raw_podaci!A24</f>
        <v>23</v>
      </c>
      <c r="T23" s="12">
        <f>raw_podaci!O24</f>
        <v>7.5900000000000034</v>
      </c>
    </row>
    <row r="24" spans="1:20" x14ac:dyDescent="0.35">
      <c r="A24" s="8">
        <f>raw_podaci!A24</f>
        <v>23</v>
      </c>
      <c r="B24" s="33">
        <f>raw_podaci!B24</f>
        <v>96.42</v>
      </c>
      <c r="C24" s="33">
        <f>raw_podaci!C24</f>
        <v>97.62</v>
      </c>
      <c r="D24" s="33">
        <f>raw_podaci!D24</f>
        <v>96.75</v>
      </c>
      <c r="E24" s="33">
        <f>raw_podaci!E24</f>
        <v>96.89</v>
      </c>
      <c r="F24" s="33">
        <f>raw_podaci!F24</f>
        <v>89.3</v>
      </c>
      <c r="G24">
        <f>raw_podaci!G24/1000</f>
        <v>88.328000000000003</v>
      </c>
      <c r="H24">
        <f>raw_podaci!H24/1000000</f>
        <v>0.697654</v>
      </c>
      <c r="I24" s="33">
        <f>raw_podaci!O24</f>
        <v>7.5900000000000034</v>
      </c>
      <c r="J24" s="19"/>
      <c r="K24" s="19"/>
      <c r="L24" s="19"/>
      <c r="M24" s="19"/>
      <c r="N24" s="19"/>
      <c r="O24" s="19"/>
      <c r="P24" s="19"/>
      <c r="Q24" s="19"/>
      <c r="R24" s="16"/>
      <c r="S24" s="3">
        <f>raw_podaci!A32</f>
        <v>31</v>
      </c>
      <c r="T24" s="12">
        <f>raw_podaci!O32</f>
        <v>7.5900000000000034</v>
      </c>
    </row>
    <row r="25" spans="1:20" x14ac:dyDescent="0.35">
      <c r="A25" s="8">
        <f>raw_podaci!A25</f>
        <v>24</v>
      </c>
      <c r="B25" s="33">
        <f>raw_podaci!B25</f>
        <v>95.21</v>
      </c>
      <c r="C25" s="33">
        <f>raw_podaci!C25</f>
        <v>97.77</v>
      </c>
      <c r="D25" s="33">
        <f>raw_podaci!D25</f>
        <v>96.06</v>
      </c>
      <c r="E25" s="33">
        <f>raw_podaci!E25</f>
        <v>94.67</v>
      </c>
      <c r="F25" s="33">
        <f>raw_podaci!F25</f>
        <v>86.31</v>
      </c>
      <c r="G25">
        <f>raw_podaci!G25/1000</f>
        <v>196.476</v>
      </c>
      <c r="H25">
        <f>raw_podaci!H25/1000000</f>
        <v>0.93480399999999997</v>
      </c>
      <c r="I25" s="33">
        <f>raw_podaci!O25</f>
        <v>8.36</v>
      </c>
      <c r="J25" s="19"/>
      <c r="K25" s="19"/>
      <c r="L25" s="19"/>
      <c r="M25" s="19"/>
      <c r="N25" s="19"/>
      <c r="O25" s="19"/>
      <c r="P25" s="19"/>
      <c r="Q25" s="19"/>
      <c r="R25" s="16"/>
      <c r="S25" s="3">
        <f>raw_podaci!A50</f>
        <v>49</v>
      </c>
      <c r="T25" s="12">
        <f>raw_podaci!O50</f>
        <v>7.6299999999999955</v>
      </c>
    </row>
    <row r="26" spans="1:20" x14ac:dyDescent="0.35">
      <c r="A26" s="8">
        <f>raw_podaci!A26</f>
        <v>25</v>
      </c>
      <c r="B26" s="33">
        <f>raw_podaci!B26</f>
        <v>95.22</v>
      </c>
      <c r="C26" s="33">
        <f>raw_podaci!C26</f>
        <v>97.77</v>
      </c>
      <c r="D26" s="33">
        <f>raw_podaci!D26</f>
        <v>96.01</v>
      </c>
      <c r="E26" s="33">
        <f>raw_podaci!E26</f>
        <v>93.72</v>
      </c>
      <c r="F26" s="33">
        <f>raw_podaci!F26</f>
        <v>89.54</v>
      </c>
      <c r="G26">
        <f>raw_podaci!G26/1000</f>
        <v>105.03400000000001</v>
      </c>
      <c r="H26">
        <f>raw_podaci!H26/1000000</f>
        <v>0.92922400000000005</v>
      </c>
      <c r="I26" s="33">
        <f>raw_podaci!O26</f>
        <v>4.1799999999999926</v>
      </c>
      <c r="J26" s="19"/>
      <c r="K26" s="19"/>
      <c r="L26" s="19"/>
      <c r="M26" s="19"/>
      <c r="N26" s="19"/>
      <c r="O26" s="19"/>
      <c r="P26" s="19"/>
      <c r="Q26" s="19"/>
      <c r="R26" s="16"/>
      <c r="S26" s="3">
        <f>raw_podaci!A6</f>
        <v>5</v>
      </c>
      <c r="T26" s="12">
        <f>raw_podaci!O6</f>
        <v>7.6400000000000006</v>
      </c>
    </row>
    <row r="27" spans="1:20" x14ac:dyDescent="0.35">
      <c r="A27" s="8">
        <f>raw_podaci!A27</f>
        <v>26</v>
      </c>
      <c r="B27" s="33">
        <f>raw_podaci!B27</f>
        <v>95.52</v>
      </c>
      <c r="C27" s="33">
        <f>raw_podaci!C27</f>
        <v>97.77</v>
      </c>
      <c r="D27" s="33">
        <f>raw_podaci!D27</f>
        <v>96.28</v>
      </c>
      <c r="E27" s="33">
        <f>raw_podaci!E27</f>
        <v>93.66</v>
      </c>
      <c r="F27" s="33">
        <f>raw_podaci!F27</f>
        <v>91.84</v>
      </c>
      <c r="G27">
        <f>raw_podaci!G27/1000</f>
        <v>211.01599999999999</v>
      </c>
      <c r="H27">
        <f>raw_podaci!H27/1000000</f>
        <v>0.85947399999999996</v>
      </c>
      <c r="I27" s="33">
        <f>raw_podaci!O27</f>
        <v>1.8199999999999932</v>
      </c>
      <c r="J27" s="19"/>
      <c r="K27" s="19"/>
      <c r="L27" s="19"/>
      <c r="M27" s="19"/>
      <c r="N27" s="19"/>
      <c r="O27" s="19"/>
      <c r="P27" s="19"/>
      <c r="Q27" s="19"/>
      <c r="R27" s="16"/>
      <c r="S27" s="3">
        <f>raw_podaci!A51</f>
        <v>50</v>
      </c>
      <c r="T27" s="12">
        <f>raw_podaci!O51</f>
        <v>8.1299999999999955</v>
      </c>
    </row>
    <row r="28" spans="1:20" x14ac:dyDescent="0.35">
      <c r="A28" s="8">
        <f>raw_podaci!A28</f>
        <v>27</v>
      </c>
      <c r="B28" s="33">
        <f>raw_podaci!B28</f>
        <v>93.72</v>
      </c>
      <c r="C28" s="33">
        <f>raw_podaci!C28</f>
        <v>97.77</v>
      </c>
      <c r="D28" s="33">
        <f>raw_podaci!D28</f>
        <v>95.88</v>
      </c>
      <c r="E28" s="33">
        <f>raw_podaci!E28</f>
        <v>92.87</v>
      </c>
      <c r="F28" s="33">
        <f>raw_podaci!F28</f>
        <v>79.400000000000006</v>
      </c>
      <c r="G28">
        <f>raw_podaci!G28/1000</f>
        <v>94.962999999999994</v>
      </c>
      <c r="H28">
        <f>raw_podaci!H28/1000000</f>
        <v>1.2389140000000001</v>
      </c>
      <c r="I28" s="33">
        <f>raw_podaci!O28</f>
        <v>13.469999999999999</v>
      </c>
      <c r="J28" s="19"/>
      <c r="K28" s="19"/>
      <c r="L28" s="19"/>
      <c r="M28" s="19"/>
      <c r="N28" s="19"/>
      <c r="O28" s="19"/>
      <c r="P28" s="19"/>
      <c r="Q28" s="19"/>
      <c r="R28" s="16"/>
      <c r="S28" s="3">
        <f>raw_podaci!A2</f>
        <v>1</v>
      </c>
      <c r="T28" s="12">
        <f>raw_podaci!O2</f>
        <v>8.1899999999999977</v>
      </c>
    </row>
    <row r="29" spans="1:20" x14ac:dyDescent="0.35">
      <c r="A29" s="8">
        <f>raw_podaci!A29</f>
        <v>28</v>
      </c>
      <c r="B29" s="33">
        <f>raw_podaci!B29</f>
        <v>95.9</v>
      </c>
      <c r="C29" s="33">
        <f>raw_podaci!C29</f>
        <v>97.77</v>
      </c>
      <c r="D29" s="33">
        <f>raw_podaci!D29</f>
        <v>96.75</v>
      </c>
      <c r="E29" s="33">
        <f>raw_podaci!E29</f>
        <v>95.36</v>
      </c>
      <c r="F29" s="33">
        <f>raw_podaci!F29</f>
        <v>88.65</v>
      </c>
      <c r="G29">
        <f>raw_podaci!G29/1000</f>
        <v>86.284000000000006</v>
      </c>
      <c r="H29">
        <f>raw_podaci!H29/1000000</f>
        <v>0.88458400000000004</v>
      </c>
      <c r="I29" s="33">
        <f>raw_podaci!O29</f>
        <v>6.7099999999999937</v>
      </c>
      <c r="J29" s="19"/>
      <c r="K29" s="19"/>
      <c r="L29" s="19"/>
      <c r="M29" s="19"/>
      <c r="N29" s="19"/>
      <c r="O29" s="19"/>
      <c r="P29" s="19"/>
      <c r="Q29" s="19"/>
      <c r="R29" s="16"/>
      <c r="S29" s="3">
        <f>raw_podaci!A25</f>
        <v>24</v>
      </c>
      <c r="T29" s="12">
        <f>raw_podaci!O25</f>
        <v>8.36</v>
      </c>
    </row>
    <row r="30" spans="1:20" x14ac:dyDescent="0.35">
      <c r="A30" s="8">
        <f>raw_podaci!A30</f>
        <v>29</v>
      </c>
      <c r="B30" s="33">
        <f>raw_podaci!B30</f>
        <v>95.35</v>
      </c>
      <c r="C30" s="33">
        <f>raw_podaci!C30</f>
        <v>97.77</v>
      </c>
      <c r="D30" s="33">
        <f>raw_podaci!D30</f>
        <v>96.38</v>
      </c>
      <c r="E30" s="33">
        <f>raw_podaci!E30</f>
        <v>94.19</v>
      </c>
      <c r="F30" s="33">
        <f>raw_podaci!F30</f>
        <v>88.15</v>
      </c>
      <c r="G30">
        <f>raw_podaci!G30/1000</f>
        <v>91.412999999999997</v>
      </c>
      <c r="H30">
        <f>raw_podaci!H30/1000000</f>
        <v>0.93480399999999997</v>
      </c>
      <c r="I30" s="33">
        <f>raw_podaci!O30</f>
        <v>6.039999999999992</v>
      </c>
      <c r="J30" s="19"/>
      <c r="K30" s="19"/>
      <c r="L30" s="19"/>
      <c r="M30" s="19"/>
      <c r="N30" s="19"/>
      <c r="O30" s="19"/>
      <c r="P30" s="19"/>
      <c r="Q30" s="19"/>
      <c r="R30" s="16"/>
      <c r="S30" s="3">
        <f>raw_podaci!A39</f>
        <v>38</v>
      </c>
      <c r="T30" s="12">
        <f>raw_podaci!O39</f>
        <v>8.61</v>
      </c>
    </row>
    <row r="31" spans="1:20" x14ac:dyDescent="0.35">
      <c r="A31" s="8">
        <f>raw_podaci!A31</f>
        <v>30</v>
      </c>
      <c r="B31" s="33">
        <f>raw_podaci!B31</f>
        <v>94.01</v>
      </c>
      <c r="C31" s="33">
        <f>raw_podaci!C31</f>
        <v>97.77</v>
      </c>
      <c r="D31" s="33">
        <f>raw_podaci!D31</f>
        <v>96.09</v>
      </c>
      <c r="E31" s="33">
        <f>raw_podaci!E31</f>
        <v>94.03</v>
      </c>
      <c r="F31" s="33">
        <f>raw_podaci!F31</f>
        <v>77.94</v>
      </c>
      <c r="G31">
        <f>raw_podaci!G31/1000</f>
        <v>94.445999999999998</v>
      </c>
      <c r="H31">
        <f>raw_podaci!H31/1000000</f>
        <v>1.3895740000000001</v>
      </c>
      <c r="I31" s="33">
        <f>raw_podaci!O31</f>
        <v>16.090000000000003</v>
      </c>
      <c r="J31" s="19"/>
      <c r="K31" s="19"/>
      <c r="L31" s="19"/>
      <c r="M31" s="19"/>
      <c r="N31" s="19"/>
      <c r="O31" s="19"/>
      <c r="P31" s="19"/>
      <c r="Q31" s="19"/>
      <c r="R31" s="16"/>
      <c r="S31" s="3">
        <f>raw_podaci!A20</f>
        <v>19</v>
      </c>
      <c r="T31" s="12">
        <f>raw_podaci!O20</f>
        <v>8.6799999999999926</v>
      </c>
    </row>
    <row r="32" spans="1:20" x14ac:dyDescent="0.35">
      <c r="A32" s="8">
        <f>raw_podaci!A32</f>
        <v>31</v>
      </c>
      <c r="B32" s="33">
        <f>raw_podaci!B32</f>
        <v>96.42</v>
      </c>
      <c r="C32" s="33">
        <f>raw_podaci!C32</f>
        <v>97.62</v>
      </c>
      <c r="D32" s="33">
        <f>raw_podaci!D32</f>
        <v>96.75</v>
      </c>
      <c r="E32" s="33">
        <f>raw_podaci!E32</f>
        <v>96.89</v>
      </c>
      <c r="F32" s="33">
        <f>raw_podaci!F32</f>
        <v>89.3</v>
      </c>
      <c r="G32">
        <f>raw_podaci!G32/1000</f>
        <v>87.679000000000002</v>
      </c>
      <c r="H32">
        <f>raw_podaci!H32/1000000</f>
        <v>0.697654</v>
      </c>
      <c r="I32" s="33">
        <f>raw_podaci!O32</f>
        <v>7.5900000000000034</v>
      </c>
      <c r="J32" s="19"/>
      <c r="K32" s="19"/>
      <c r="L32" s="19"/>
      <c r="M32" s="19"/>
      <c r="N32" s="19"/>
      <c r="O32" s="19"/>
      <c r="P32" s="19"/>
      <c r="Q32" s="19"/>
      <c r="R32" s="16"/>
      <c r="S32" s="3">
        <f>raw_podaci!A36</f>
        <v>35</v>
      </c>
      <c r="T32" s="12">
        <f>raw_podaci!O36</f>
        <v>8.6900000000000119</v>
      </c>
    </row>
    <row r="33" spans="1:20" x14ac:dyDescent="0.35">
      <c r="A33" s="8">
        <f>raw_podaci!A33</f>
        <v>32</v>
      </c>
      <c r="B33" s="33">
        <f>raw_podaci!B33</f>
        <v>94.1</v>
      </c>
      <c r="C33" s="33">
        <f>raw_podaci!C33</f>
        <v>97.77</v>
      </c>
      <c r="D33" s="33">
        <f>raw_podaci!D33</f>
        <v>96.49</v>
      </c>
      <c r="E33" s="33">
        <f>raw_podaci!E33</f>
        <v>93.44</v>
      </c>
      <c r="F33" s="33">
        <f>raw_podaci!F33</f>
        <v>79.150000000000006</v>
      </c>
      <c r="G33">
        <f>raw_podaci!G33/1000</f>
        <v>89.400999999999996</v>
      </c>
      <c r="H33">
        <f>raw_podaci!H33/1000000</f>
        <v>1.2054339999999999</v>
      </c>
      <c r="I33" s="33">
        <f>raw_podaci!O33</f>
        <v>14.289999999999992</v>
      </c>
      <c r="J33" s="19"/>
      <c r="K33" s="19"/>
      <c r="L33" s="19"/>
      <c r="M33" s="19"/>
      <c r="N33" s="19"/>
      <c r="O33" s="19"/>
      <c r="P33" s="19"/>
      <c r="Q33" s="19"/>
      <c r="R33" s="16"/>
      <c r="S33" s="3">
        <f>raw_podaci!A49</f>
        <v>48</v>
      </c>
      <c r="T33" s="12">
        <f>raw_podaci!O49</f>
        <v>8.9099999999999966</v>
      </c>
    </row>
    <row r="34" spans="1:20" x14ac:dyDescent="0.35">
      <c r="A34" s="8">
        <f>raw_podaci!A34</f>
        <v>33</v>
      </c>
      <c r="B34" s="33">
        <f>raw_podaci!B34</f>
        <v>95.9</v>
      </c>
      <c r="C34" s="33">
        <f>raw_podaci!C34</f>
        <v>97.77</v>
      </c>
      <c r="D34" s="33">
        <f>raw_podaci!D34</f>
        <v>96.75</v>
      </c>
      <c r="E34" s="33">
        <f>raw_podaci!E34</f>
        <v>95.33</v>
      </c>
      <c r="F34" s="33">
        <f>raw_podaci!F34</f>
        <v>88.74</v>
      </c>
      <c r="G34">
        <f>raw_podaci!G34/1000</f>
        <v>86.36</v>
      </c>
      <c r="H34">
        <f>raw_podaci!H34/1000000</f>
        <v>0.88458400000000004</v>
      </c>
      <c r="I34" s="33">
        <f>raw_podaci!O34</f>
        <v>6.5900000000000034</v>
      </c>
      <c r="J34" s="19"/>
      <c r="K34" s="19"/>
      <c r="L34" s="19"/>
      <c r="M34" s="19"/>
      <c r="N34" s="19"/>
      <c r="O34" s="19"/>
      <c r="P34" s="19"/>
      <c r="Q34" s="19"/>
      <c r="R34" s="16"/>
      <c r="S34" s="3">
        <f>raw_podaci!A40</f>
        <v>39</v>
      </c>
      <c r="T34" s="12">
        <f>raw_podaci!O40</f>
        <v>9.1500000000000057</v>
      </c>
    </row>
    <row r="35" spans="1:20" x14ac:dyDescent="0.35">
      <c r="A35" s="8">
        <f>raw_podaci!A35</f>
        <v>34</v>
      </c>
      <c r="B35" s="33">
        <f>raw_podaci!B35</f>
        <v>93.68</v>
      </c>
      <c r="C35" s="33">
        <f>raw_podaci!C35</f>
        <v>97.77</v>
      </c>
      <c r="D35" s="33">
        <f>raw_podaci!D35</f>
        <v>96.56</v>
      </c>
      <c r="E35" s="33">
        <f>raw_podaci!E35</f>
        <v>94.27</v>
      </c>
      <c r="F35" s="33">
        <f>raw_podaci!F35</f>
        <v>73.59</v>
      </c>
      <c r="G35">
        <f>raw_podaci!G35/1000</f>
        <v>91.188999999999993</v>
      </c>
      <c r="H35">
        <f>raw_podaci!H35/1000000</f>
        <v>1.3895740000000001</v>
      </c>
      <c r="I35" s="33">
        <f>raw_podaci!O35</f>
        <v>20.679999999999993</v>
      </c>
      <c r="J35" s="19"/>
      <c r="K35" s="19"/>
      <c r="L35" s="19"/>
      <c r="M35" s="19"/>
      <c r="N35" s="19"/>
      <c r="O35" s="19"/>
      <c r="P35" s="19"/>
      <c r="Q35" s="19"/>
      <c r="R35" s="16"/>
      <c r="S35" s="3">
        <f>raw_podaci!A19</f>
        <v>18</v>
      </c>
      <c r="T35" s="12">
        <f>raw_podaci!O19</f>
        <v>10.349999999999994</v>
      </c>
    </row>
    <row r="36" spans="1:20" x14ac:dyDescent="0.35">
      <c r="A36" s="8">
        <f>raw_podaci!A36</f>
        <v>35</v>
      </c>
      <c r="B36" s="33">
        <f>raw_podaci!B36</f>
        <v>95.08</v>
      </c>
      <c r="C36" s="33">
        <f>raw_podaci!C36</f>
        <v>97.77</v>
      </c>
      <c r="D36" s="33">
        <f>raw_podaci!D36</f>
        <v>95.82</v>
      </c>
      <c r="E36" s="33">
        <f>raw_podaci!E36</f>
        <v>94.65</v>
      </c>
      <c r="F36" s="33">
        <f>raw_podaci!F36</f>
        <v>85.96</v>
      </c>
      <c r="G36">
        <f>raw_podaci!G36/1000</f>
        <v>89.483999999999995</v>
      </c>
      <c r="H36">
        <f>raw_podaci!H36/1000000</f>
        <v>1.138474</v>
      </c>
      <c r="I36" s="33">
        <f>raw_podaci!O36</f>
        <v>8.6900000000000119</v>
      </c>
      <c r="J36" s="19"/>
      <c r="K36" s="19"/>
      <c r="L36" s="19"/>
      <c r="M36" s="19"/>
      <c r="N36" s="19"/>
      <c r="O36" s="19"/>
      <c r="P36" s="19"/>
      <c r="Q36" s="19"/>
      <c r="R36" s="16"/>
      <c r="S36" s="3">
        <f>raw_podaci!A47</f>
        <v>46</v>
      </c>
      <c r="T36" s="12">
        <f>raw_podaci!O47</f>
        <v>10.36999999999999</v>
      </c>
    </row>
    <row r="37" spans="1:20" x14ac:dyDescent="0.35">
      <c r="A37" s="8">
        <f>raw_podaci!A37</f>
        <v>36</v>
      </c>
      <c r="B37" s="33">
        <f>raw_podaci!B37</f>
        <v>95.81</v>
      </c>
      <c r="C37" s="33">
        <f>raw_podaci!C37</f>
        <v>97.77</v>
      </c>
      <c r="D37" s="33">
        <f>raw_podaci!D37</f>
        <v>96.49</v>
      </c>
      <c r="E37" s="33">
        <f>raw_podaci!E37</f>
        <v>95.25</v>
      </c>
      <c r="F37" s="33">
        <f>raw_podaci!F37</f>
        <v>88.96</v>
      </c>
      <c r="G37">
        <f>raw_podaci!G37/1000</f>
        <v>84.179000000000002</v>
      </c>
      <c r="H37">
        <f>raw_podaci!H37/1000000</f>
        <v>0.887374</v>
      </c>
      <c r="I37" s="33">
        <f>raw_podaci!O37</f>
        <v>6.2900000000000063</v>
      </c>
      <c r="J37" s="19"/>
      <c r="K37" s="19"/>
      <c r="L37" s="19"/>
      <c r="M37" s="19"/>
      <c r="N37" s="19"/>
      <c r="O37" s="19"/>
      <c r="P37" s="19"/>
      <c r="Q37" s="19"/>
      <c r="R37" s="16"/>
      <c r="S37" s="3">
        <f>raw_podaci!A43</f>
        <v>42</v>
      </c>
      <c r="T37" s="12">
        <f>raw_podaci!O43</f>
        <v>10.829999999999998</v>
      </c>
    </row>
    <row r="38" spans="1:20" x14ac:dyDescent="0.35">
      <c r="A38" s="8">
        <f>raw_podaci!A38</f>
        <v>37</v>
      </c>
      <c r="B38" s="33">
        <f>raw_podaci!B38</f>
        <v>95.35</v>
      </c>
      <c r="C38" s="33">
        <f>raw_podaci!C38</f>
        <v>97.77</v>
      </c>
      <c r="D38" s="33">
        <f>raw_podaci!D38</f>
        <v>95.56</v>
      </c>
      <c r="E38" s="33">
        <f>raw_podaci!E38</f>
        <v>94.2</v>
      </c>
      <c r="F38" s="33">
        <f>raw_podaci!F38</f>
        <v>90.7</v>
      </c>
      <c r="G38">
        <f>raw_podaci!G38/1000</f>
        <v>88.929000000000002</v>
      </c>
      <c r="H38">
        <f>raw_podaci!H38/1000000</f>
        <v>0.93480399999999997</v>
      </c>
      <c r="I38" s="33">
        <f>raw_podaci!O38</f>
        <v>3.5</v>
      </c>
      <c r="J38" s="19"/>
      <c r="K38" s="19"/>
      <c r="L38" s="19"/>
      <c r="M38" s="19"/>
      <c r="N38" s="19"/>
      <c r="O38" s="19"/>
      <c r="P38" s="19"/>
      <c r="Q38" s="19"/>
      <c r="R38" s="16"/>
      <c r="S38" s="3">
        <f>raw_podaci!A15</f>
        <v>14</v>
      </c>
      <c r="T38" s="12">
        <f>raw_podaci!O15</f>
        <v>12.780000000000001</v>
      </c>
    </row>
    <row r="39" spans="1:20" x14ac:dyDescent="0.35">
      <c r="A39" s="8">
        <f>raw_podaci!A39</f>
        <v>38</v>
      </c>
      <c r="B39" s="33">
        <f>raw_podaci!B39</f>
        <v>94.37</v>
      </c>
      <c r="C39" s="33">
        <f>raw_podaci!C39</f>
        <v>97.77</v>
      </c>
      <c r="D39" s="33">
        <f>raw_podaci!D39</f>
        <v>96.12</v>
      </c>
      <c r="E39" s="33">
        <f>raw_podaci!E39</f>
        <v>92.81</v>
      </c>
      <c r="F39" s="33">
        <f>raw_podaci!F39</f>
        <v>84.2</v>
      </c>
      <c r="G39">
        <f>raw_podaci!G39/1000</f>
        <v>88.661000000000001</v>
      </c>
      <c r="H39">
        <f>raw_podaci!H39/1000000</f>
        <v>1.2054339999999999</v>
      </c>
      <c r="I39" s="33">
        <f>raw_podaci!O39</f>
        <v>8.61</v>
      </c>
      <c r="J39" s="19"/>
      <c r="K39" s="19"/>
      <c r="L39" s="19"/>
      <c r="M39" s="19"/>
      <c r="N39" s="19"/>
      <c r="O39" s="19"/>
      <c r="P39" s="19"/>
      <c r="Q39" s="19"/>
      <c r="R39" s="16"/>
      <c r="S39" s="3">
        <f>raw_podaci!A44</f>
        <v>43</v>
      </c>
      <c r="T39" s="12">
        <f>raw_podaci!O44</f>
        <v>13.36</v>
      </c>
    </row>
    <row r="40" spans="1:20" x14ac:dyDescent="0.35">
      <c r="A40" s="8">
        <f>raw_podaci!A40</f>
        <v>39</v>
      </c>
      <c r="B40" s="33">
        <f>raw_podaci!B40</f>
        <v>95.35</v>
      </c>
      <c r="C40" s="33">
        <f>raw_podaci!C40</f>
        <v>97.77</v>
      </c>
      <c r="D40" s="33">
        <f>raw_podaci!D40</f>
        <v>95.82</v>
      </c>
      <c r="E40" s="33">
        <f>raw_podaci!E40</f>
        <v>95.36</v>
      </c>
      <c r="F40" s="33">
        <f>raw_podaci!F40</f>
        <v>86.21</v>
      </c>
      <c r="G40">
        <f>raw_podaci!G40/1000</f>
        <v>92.346000000000004</v>
      </c>
      <c r="H40">
        <f>raw_podaci!H40/1000000</f>
        <v>0.92922400000000005</v>
      </c>
      <c r="I40" s="33">
        <f>raw_podaci!O40</f>
        <v>9.1500000000000057</v>
      </c>
      <c r="J40" s="19"/>
      <c r="K40" s="19"/>
      <c r="L40" s="19"/>
      <c r="M40" s="19"/>
      <c r="N40" s="19"/>
      <c r="O40" s="19"/>
      <c r="P40" s="19"/>
      <c r="Q40" s="19"/>
      <c r="R40" s="16"/>
      <c r="S40" s="3">
        <f>raw_podaci!A28</f>
        <v>27</v>
      </c>
      <c r="T40" s="12">
        <f>raw_podaci!O28</f>
        <v>13.469999999999999</v>
      </c>
    </row>
    <row r="41" spans="1:20" x14ac:dyDescent="0.35">
      <c r="A41" s="8">
        <f>raw_podaci!A41</f>
        <v>40</v>
      </c>
      <c r="B41" s="33">
        <f>raw_podaci!B41</f>
        <v>93.98</v>
      </c>
      <c r="C41" s="33">
        <f>raw_podaci!C41</f>
        <v>97.62</v>
      </c>
      <c r="D41" s="33">
        <f>raw_podaci!D41</f>
        <v>96.69</v>
      </c>
      <c r="E41" s="33">
        <f>raw_podaci!E41</f>
        <v>93.96</v>
      </c>
      <c r="F41" s="33">
        <f>raw_podaci!F41</f>
        <v>76.680000000000007</v>
      </c>
      <c r="G41">
        <f>raw_podaci!G41/1000</f>
        <v>90.81</v>
      </c>
      <c r="H41">
        <f>raw_podaci!H41/1000000</f>
        <v>1.2054339999999999</v>
      </c>
      <c r="I41" s="33">
        <f>raw_podaci!O41</f>
        <v>17.279999999999987</v>
      </c>
      <c r="J41" s="19"/>
      <c r="K41" s="19"/>
      <c r="L41" s="19"/>
      <c r="M41" s="19"/>
      <c r="N41" s="19"/>
      <c r="O41" s="19"/>
      <c r="P41" s="19"/>
      <c r="Q41" s="19"/>
      <c r="R41" s="16"/>
      <c r="S41" s="3">
        <f>raw_podaci!A33</f>
        <v>32</v>
      </c>
      <c r="T41" s="12">
        <f>raw_podaci!O33</f>
        <v>14.289999999999992</v>
      </c>
    </row>
    <row r="42" spans="1:20" x14ac:dyDescent="0.35">
      <c r="A42" s="8">
        <f>raw_podaci!A42</f>
        <v>41</v>
      </c>
      <c r="B42" s="33">
        <f>raw_podaci!B42</f>
        <v>95.62</v>
      </c>
      <c r="C42" s="33">
        <f>raw_podaci!C42</f>
        <v>97.77</v>
      </c>
      <c r="D42" s="33">
        <f>raw_podaci!D42</f>
        <v>95.97</v>
      </c>
      <c r="E42" s="33">
        <f>raw_podaci!E42</f>
        <v>94.96</v>
      </c>
      <c r="F42" s="33">
        <f>raw_podaci!F42</f>
        <v>89.64</v>
      </c>
      <c r="G42">
        <f>raw_podaci!G42/1000</f>
        <v>191.054</v>
      </c>
      <c r="H42">
        <f>raw_podaci!H42/1000000</f>
        <v>0.88458400000000004</v>
      </c>
      <c r="I42" s="33">
        <f>raw_podaci!O42</f>
        <v>5.3199999999999932</v>
      </c>
      <c r="J42" s="19"/>
      <c r="K42" s="19"/>
      <c r="L42" s="19"/>
      <c r="M42" s="19"/>
      <c r="N42" s="19"/>
      <c r="O42" s="19"/>
      <c r="P42" s="19"/>
      <c r="Q42" s="19"/>
      <c r="R42" s="16"/>
      <c r="S42" s="3">
        <f>raw_podaci!A31</f>
        <v>30</v>
      </c>
      <c r="T42" s="12">
        <f>raw_podaci!O31</f>
        <v>16.090000000000003</v>
      </c>
    </row>
    <row r="43" spans="1:20" x14ac:dyDescent="0.35">
      <c r="A43" s="8">
        <f>raw_podaci!A43</f>
        <v>42</v>
      </c>
      <c r="B43" s="33">
        <f>raw_podaci!B43</f>
        <v>94.78</v>
      </c>
      <c r="C43" s="33">
        <f>raw_podaci!C43</f>
        <v>97.77</v>
      </c>
      <c r="D43" s="33">
        <f>raw_podaci!D43</f>
        <v>95.8</v>
      </c>
      <c r="E43" s="33">
        <f>raw_podaci!E43</f>
        <v>94.52</v>
      </c>
      <c r="F43" s="33">
        <f>raw_podaci!F43</f>
        <v>83.69</v>
      </c>
      <c r="G43">
        <f>raw_podaci!G43/1000</f>
        <v>89.94</v>
      </c>
      <c r="H43">
        <f>raw_podaci!H43/1000000</f>
        <v>1.138474</v>
      </c>
      <c r="I43" s="33">
        <f>raw_podaci!O43</f>
        <v>10.829999999999998</v>
      </c>
      <c r="J43" s="19"/>
      <c r="K43" s="19"/>
      <c r="L43" s="19"/>
      <c r="M43" s="19"/>
      <c r="N43" s="19"/>
      <c r="O43" s="19"/>
      <c r="P43" s="19"/>
      <c r="Q43" s="19"/>
      <c r="R43" s="16"/>
      <c r="S43" s="3">
        <f>raw_podaci!A17</f>
        <v>16</v>
      </c>
      <c r="T43" s="12">
        <f>raw_podaci!O17</f>
        <v>16.939999999999998</v>
      </c>
    </row>
    <row r="44" spans="1:20" x14ac:dyDescent="0.35">
      <c r="A44" s="8">
        <f>raw_podaci!A44</f>
        <v>43</v>
      </c>
      <c r="B44" s="33">
        <f>raw_podaci!B44</f>
        <v>94.01</v>
      </c>
      <c r="C44" s="33">
        <f>raw_podaci!C44</f>
        <v>97.62</v>
      </c>
      <c r="D44" s="33">
        <f>raw_podaci!D44</f>
        <v>96.62</v>
      </c>
      <c r="E44" s="33">
        <f>raw_podaci!E44</f>
        <v>93.02</v>
      </c>
      <c r="F44" s="33">
        <f>raw_podaci!F44</f>
        <v>79.66</v>
      </c>
      <c r="G44">
        <f>raw_podaci!G44/1000</f>
        <v>87.769000000000005</v>
      </c>
      <c r="H44">
        <f>raw_podaci!H44/1000000</f>
        <v>1.2054339999999999</v>
      </c>
      <c r="I44" s="33">
        <f>raw_podaci!O44</f>
        <v>13.36</v>
      </c>
      <c r="J44" s="19"/>
      <c r="K44" s="19"/>
      <c r="L44" s="19"/>
      <c r="M44" s="19"/>
      <c r="N44" s="19"/>
      <c r="O44" s="19"/>
      <c r="P44" s="19"/>
      <c r="Q44" s="19"/>
      <c r="R44" s="16"/>
      <c r="S44" s="3">
        <f>raw_podaci!A41</f>
        <v>40</v>
      </c>
      <c r="T44" s="12">
        <f>raw_podaci!O41</f>
        <v>17.279999999999987</v>
      </c>
    </row>
    <row r="45" spans="1:20" x14ac:dyDescent="0.35">
      <c r="A45" s="8">
        <f>raw_podaci!A45</f>
        <v>44</v>
      </c>
      <c r="B45" s="33">
        <f>raw_podaci!B45</f>
        <v>94.56</v>
      </c>
      <c r="C45" s="33">
        <f>raw_podaci!C45</f>
        <v>97.77</v>
      </c>
      <c r="D45" s="33">
        <f>raw_podaci!D45</f>
        <v>95.91</v>
      </c>
      <c r="E45" s="33">
        <f>raw_podaci!E45</f>
        <v>91.99</v>
      </c>
      <c r="F45" s="33">
        <f>raw_podaci!F45</f>
        <v>88.78</v>
      </c>
      <c r="G45">
        <f>raw_podaci!G45/1000</f>
        <v>196.96899999999999</v>
      </c>
      <c r="H45">
        <f>raw_podaci!H45/1000000</f>
        <v>1.051984</v>
      </c>
      <c r="I45" s="33">
        <f>raw_podaci!O45</f>
        <v>3.2099999999999937</v>
      </c>
      <c r="J45" s="19"/>
      <c r="K45" s="19"/>
      <c r="L45" s="19"/>
      <c r="M45" s="19"/>
      <c r="N45" s="19"/>
      <c r="O45" s="19"/>
      <c r="P45" s="19"/>
      <c r="Q45" s="19"/>
      <c r="R45" s="16"/>
      <c r="S45" s="3">
        <f>raw_podaci!A8</f>
        <v>7</v>
      </c>
      <c r="T45" s="12">
        <f>raw_podaci!O8</f>
        <v>17.679999999999993</v>
      </c>
    </row>
    <row r="46" spans="1:20" x14ac:dyDescent="0.35">
      <c r="A46" s="8">
        <f>raw_podaci!A46</f>
        <v>45</v>
      </c>
      <c r="B46" s="33">
        <f>raw_podaci!B46</f>
        <v>96.31</v>
      </c>
      <c r="C46" s="33">
        <f>raw_podaci!C46</f>
        <v>97.77</v>
      </c>
      <c r="D46" s="33">
        <f>raw_podaci!D46</f>
        <v>96.75</v>
      </c>
      <c r="E46" s="33">
        <f>raw_podaci!E46</f>
        <v>95.1</v>
      </c>
      <c r="F46" s="33">
        <f>raw_podaci!F46</f>
        <v>93.89</v>
      </c>
      <c r="G46">
        <f>raw_podaci!G46/1000</f>
        <v>91.313999999999993</v>
      </c>
      <c r="H46">
        <f>raw_podaci!H46/1000000</f>
        <v>1.211014</v>
      </c>
      <c r="I46" s="33">
        <f>raw_podaci!O46</f>
        <v>1.2099999999999937</v>
      </c>
      <c r="J46" s="19"/>
      <c r="K46" s="19"/>
      <c r="L46" s="19"/>
      <c r="M46" s="19"/>
      <c r="N46" s="19"/>
      <c r="O46" s="19"/>
      <c r="P46" s="19"/>
      <c r="Q46" s="19"/>
      <c r="R46" s="16"/>
      <c r="S46" s="3">
        <f>raw_podaci!A7</f>
        <v>6</v>
      </c>
      <c r="T46" s="12">
        <f>raw_podaci!O7</f>
        <v>17.799999999999997</v>
      </c>
    </row>
    <row r="47" spans="1:20" x14ac:dyDescent="0.35">
      <c r="A47" s="8">
        <f>raw_podaci!A47</f>
        <v>46</v>
      </c>
      <c r="B47" s="33">
        <f>raw_podaci!B47</f>
        <v>95.18</v>
      </c>
      <c r="C47" s="33">
        <f>raw_podaci!C47</f>
        <v>97.77</v>
      </c>
      <c r="D47" s="33">
        <f>raw_podaci!D47</f>
        <v>96.56</v>
      </c>
      <c r="E47" s="33">
        <f>raw_podaci!E47</f>
        <v>94.71</v>
      </c>
      <c r="F47" s="33">
        <f>raw_podaci!F47</f>
        <v>84.34</v>
      </c>
      <c r="G47">
        <f>raw_podaci!G47/1000</f>
        <v>90.072999999999993</v>
      </c>
      <c r="H47">
        <f>raw_podaci!H47/1000000</f>
        <v>0.93480399999999997</v>
      </c>
      <c r="I47" s="33">
        <f>raw_podaci!O47</f>
        <v>10.36999999999999</v>
      </c>
      <c r="J47" s="19"/>
      <c r="K47" s="19"/>
      <c r="L47" s="19"/>
      <c r="M47" s="19"/>
      <c r="N47" s="19"/>
      <c r="O47" s="19"/>
      <c r="P47" s="19"/>
      <c r="Q47" s="19"/>
      <c r="R47" s="16"/>
      <c r="S47" s="3">
        <f>raw_podaci!A12</f>
        <v>11</v>
      </c>
      <c r="T47" s="12">
        <f>raw_podaci!O12</f>
        <v>17.829999999999998</v>
      </c>
    </row>
    <row r="48" spans="1:20" x14ac:dyDescent="0.35">
      <c r="A48" s="8">
        <f>raw_podaci!A48</f>
        <v>47</v>
      </c>
      <c r="B48" s="33">
        <f>raw_podaci!B48</f>
        <v>94.12</v>
      </c>
      <c r="C48" s="33">
        <f>raw_podaci!C48</f>
        <v>97.77</v>
      </c>
      <c r="D48" s="33">
        <f>raw_podaci!D48</f>
        <v>96.67</v>
      </c>
      <c r="E48" s="33">
        <f>raw_podaci!E48</f>
        <v>94.47</v>
      </c>
      <c r="F48" s="33">
        <f>raw_podaci!F48</f>
        <v>75.989999999999995</v>
      </c>
      <c r="G48">
        <f>raw_podaci!G48/1000</f>
        <v>96.757000000000005</v>
      </c>
      <c r="H48">
        <f>raw_podaci!H48/1000000</f>
        <v>1.138474</v>
      </c>
      <c r="I48" s="33">
        <f>raw_podaci!O48</f>
        <v>18.480000000000004</v>
      </c>
      <c r="J48" s="19"/>
      <c r="K48" s="19"/>
      <c r="L48" s="19"/>
      <c r="M48" s="19"/>
      <c r="N48" s="19"/>
      <c r="O48" s="19"/>
      <c r="P48" s="19"/>
      <c r="Q48" s="19"/>
      <c r="R48" s="16"/>
      <c r="S48" s="3">
        <f>raw_podaci!A22</f>
        <v>21</v>
      </c>
      <c r="T48" s="12">
        <f>raw_podaci!O22</f>
        <v>18.340000000000003</v>
      </c>
    </row>
    <row r="49" spans="1:20" x14ac:dyDescent="0.35">
      <c r="A49" s="8">
        <f>raw_podaci!A49</f>
        <v>48</v>
      </c>
      <c r="B49" s="33">
        <f>raw_podaci!B49</f>
        <v>94.47</v>
      </c>
      <c r="C49" s="33">
        <f>raw_podaci!C49</f>
        <v>97.77</v>
      </c>
      <c r="D49" s="33">
        <f>raw_podaci!D49</f>
        <v>95.92</v>
      </c>
      <c r="E49" s="33">
        <f>raw_podaci!E49</f>
        <v>93.25</v>
      </c>
      <c r="F49" s="33">
        <f>raw_podaci!F49</f>
        <v>84.34</v>
      </c>
      <c r="G49">
        <f>raw_podaci!G49/1000</f>
        <v>193.30199999999999</v>
      </c>
      <c r="H49">
        <f>raw_podaci!H49/1000000</f>
        <v>1.104994</v>
      </c>
      <c r="I49" s="33">
        <f>raw_podaci!O49</f>
        <v>8.9099999999999966</v>
      </c>
      <c r="J49" s="19"/>
      <c r="K49" s="19"/>
      <c r="L49" s="19"/>
      <c r="M49" s="19"/>
      <c r="N49" s="19"/>
      <c r="O49" s="19"/>
      <c r="P49" s="19"/>
      <c r="Q49" s="19"/>
      <c r="R49" s="16"/>
      <c r="S49" s="3">
        <f>raw_podaci!A48</f>
        <v>47</v>
      </c>
      <c r="T49" s="12">
        <f>raw_podaci!O48</f>
        <v>18.480000000000004</v>
      </c>
    </row>
    <row r="50" spans="1:20" x14ac:dyDescent="0.35">
      <c r="A50" s="8">
        <f>raw_podaci!A50</f>
        <v>49</v>
      </c>
      <c r="B50" s="33">
        <f>raw_podaci!B50</f>
        <v>95.25</v>
      </c>
      <c r="C50" s="33">
        <f>raw_podaci!C50</f>
        <v>97.77</v>
      </c>
      <c r="D50" s="33">
        <f>raw_podaci!D50</f>
        <v>96.57</v>
      </c>
      <c r="E50" s="33">
        <f>raw_podaci!E50</f>
        <v>94.21</v>
      </c>
      <c r="F50" s="33">
        <f>raw_podaci!F50</f>
        <v>86.58</v>
      </c>
      <c r="G50">
        <f>raw_podaci!G50/1000</f>
        <v>194.86799999999999</v>
      </c>
      <c r="H50">
        <f>raw_podaci!H50/1000000</f>
        <v>0.93480399999999997</v>
      </c>
      <c r="I50" s="33">
        <f>raw_podaci!O50</f>
        <v>7.6299999999999955</v>
      </c>
      <c r="J50" s="19"/>
      <c r="K50" s="19"/>
      <c r="L50" s="19"/>
      <c r="M50" s="19"/>
      <c r="N50" s="19"/>
      <c r="O50" s="19"/>
      <c r="P50" s="19"/>
      <c r="Q50" s="19"/>
      <c r="R50" s="16"/>
      <c r="S50" s="3">
        <f>raw_podaci!A35</f>
        <v>34</v>
      </c>
      <c r="T50" s="12">
        <f>raw_podaci!O35</f>
        <v>20.679999999999993</v>
      </c>
    </row>
    <row r="51" spans="1:20" x14ac:dyDescent="0.35">
      <c r="A51" s="8">
        <f>raw_podaci!A51</f>
        <v>50</v>
      </c>
      <c r="B51" s="33">
        <f>raw_podaci!B51</f>
        <v>95.19</v>
      </c>
      <c r="C51" s="33">
        <f>raw_podaci!C51</f>
        <v>97.77</v>
      </c>
      <c r="D51" s="33">
        <f>raw_podaci!D51</f>
        <v>96.12</v>
      </c>
      <c r="E51" s="33">
        <f>raw_podaci!E51</f>
        <v>94.53</v>
      </c>
      <c r="F51" s="33">
        <f>raw_podaci!F51</f>
        <v>86.4</v>
      </c>
      <c r="G51">
        <f>raw_podaci!G51/1000</f>
        <v>93.221000000000004</v>
      </c>
      <c r="H51">
        <f>raw_podaci!H51/1000000</f>
        <v>0.92922400000000005</v>
      </c>
      <c r="I51" s="33">
        <f>raw_podaci!O51</f>
        <v>8.1299999999999955</v>
      </c>
      <c r="J51" s="19"/>
      <c r="K51" s="19"/>
      <c r="L51" s="19"/>
      <c r="M51" s="19"/>
      <c r="N51" s="19"/>
      <c r="O51" s="19"/>
      <c r="P51" s="19"/>
      <c r="Q51" s="19"/>
      <c r="R51" s="16"/>
      <c r="S51" s="11">
        <f>raw_podaci!A5</f>
        <v>4</v>
      </c>
      <c r="T51" s="12">
        <f>raw_podaci!O5</f>
        <v>21.259999999999991</v>
      </c>
    </row>
    <row r="52" spans="1:20" x14ac:dyDescent="0.35">
      <c r="A52" s="69" t="s">
        <v>98</v>
      </c>
      <c r="B52" s="69"/>
      <c r="C52" s="22"/>
      <c r="D52" s="22"/>
      <c r="E52" s="22"/>
      <c r="F52" s="22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</row>
    <row r="53" spans="1:20" x14ac:dyDescent="0.35">
      <c r="A53" s="69"/>
      <c r="B53" s="69"/>
      <c r="C53" s="22"/>
      <c r="D53" s="22"/>
      <c r="E53" s="22"/>
      <c r="F53" s="22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</row>
    <row r="54" spans="1:20" x14ac:dyDescent="0.35">
      <c r="A54" s="32"/>
      <c r="B54" s="23"/>
      <c r="C54" s="23"/>
      <c r="D54" s="23"/>
      <c r="E54" s="23"/>
      <c r="F54" s="23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 spans="1:20" x14ac:dyDescent="0.35">
      <c r="A55" s="32"/>
      <c r="B55" s="23"/>
      <c r="C55" s="23"/>
      <c r="D55" s="23"/>
      <c r="E55" s="23"/>
      <c r="F55" s="23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 spans="1:20" x14ac:dyDescent="0.35">
      <c r="A56" s="32"/>
      <c r="B56" s="23"/>
      <c r="C56" s="23"/>
      <c r="D56" s="23"/>
      <c r="E56" s="23"/>
      <c r="F56" s="23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 spans="1:20" x14ac:dyDescent="0.35">
      <c r="A57" s="32"/>
      <c r="B57" s="23"/>
      <c r="C57" s="23"/>
      <c r="D57" s="23"/>
      <c r="E57" s="23"/>
      <c r="F57" s="23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spans="1:20" x14ac:dyDescent="0.35">
      <c r="A58" s="32"/>
      <c r="B58" s="23"/>
      <c r="C58" s="23"/>
      <c r="D58" s="23"/>
      <c r="E58" s="23"/>
      <c r="F58" s="23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 spans="1:20" x14ac:dyDescent="0.35">
      <c r="A59" s="69" t="s">
        <v>99</v>
      </c>
      <c r="B59" s="69"/>
      <c r="C59" s="22"/>
      <c r="D59" s="22"/>
      <c r="E59" s="22"/>
      <c r="F59" s="22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</row>
    <row r="60" spans="1:20" x14ac:dyDescent="0.35">
      <c r="A60" s="69"/>
      <c r="B60" s="69"/>
      <c r="C60" s="22"/>
      <c r="D60" s="22"/>
      <c r="E60" s="22"/>
      <c r="F60" s="22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</row>
    <row r="61" spans="1:20" ht="15" thickBot="1" x14ac:dyDescent="0.4">
      <c r="A61" s="6" t="s">
        <v>12</v>
      </c>
      <c r="B61" s="6" t="s">
        <v>13</v>
      </c>
      <c r="C61" s="6" t="s">
        <v>14</v>
      </c>
      <c r="D61" s="6" t="s">
        <v>15</v>
      </c>
      <c r="E61" s="6" t="s">
        <v>16</v>
      </c>
      <c r="F61" s="6" t="s">
        <v>17</v>
      </c>
      <c r="G61" s="6" t="s">
        <v>18</v>
      </c>
      <c r="H61" s="6" t="s">
        <v>19</v>
      </c>
      <c r="I61" s="6" t="s">
        <v>20</v>
      </c>
      <c r="J61" s="19"/>
      <c r="K61" s="19"/>
      <c r="L61" s="19"/>
      <c r="M61" s="19"/>
      <c r="N61" s="19"/>
      <c r="O61" s="19"/>
      <c r="P61" s="19"/>
      <c r="Q61" s="19"/>
      <c r="R61" s="16" t="s">
        <v>92</v>
      </c>
      <c r="S61" s="27" t="s">
        <v>12</v>
      </c>
      <c r="T61" s="28" t="s">
        <v>20</v>
      </c>
    </row>
    <row r="62" spans="1:20" ht="15" thickTop="1" x14ac:dyDescent="0.35">
      <c r="A62" s="8">
        <f>raw_podaci!A62</f>
        <v>1</v>
      </c>
      <c r="B62" s="33">
        <f>raw_podaci!B62</f>
        <v>92.59</v>
      </c>
      <c r="C62" s="33">
        <f>raw_podaci!C62</f>
        <v>97.42</v>
      </c>
      <c r="D62" s="33">
        <f>raw_podaci!D62</f>
        <v>95.87</v>
      </c>
      <c r="E62" s="33">
        <f>raw_podaci!E62</f>
        <v>89.71</v>
      </c>
      <c r="F62" s="33">
        <f>raw_podaci!F62</f>
        <v>80.05</v>
      </c>
      <c r="G62">
        <f>raw_podaci!G62/1000</f>
        <v>97.21</v>
      </c>
      <c r="H62">
        <f>raw_podaci!H62/1000000</f>
        <v>1.456534</v>
      </c>
      <c r="I62" s="33">
        <f>raw_podaci!O62</f>
        <v>9.6599999999999966</v>
      </c>
      <c r="J62" s="19"/>
      <c r="K62" s="19"/>
      <c r="L62" s="19"/>
      <c r="M62" s="19"/>
      <c r="N62" s="19"/>
      <c r="O62" s="19"/>
      <c r="P62" s="19"/>
      <c r="Q62" s="19"/>
      <c r="R62" s="16" t="s">
        <v>101</v>
      </c>
      <c r="S62" s="3">
        <f>raw_podaci!A79</f>
        <v>18</v>
      </c>
      <c r="T62" s="29">
        <f>raw_podaci!O79</f>
        <v>-1.3400000000000034</v>
      </c>
    </row>
    <row r="63" spans="1:20" x14ac:dyDescent="0.35">
      <c r="A63" s="8">
        <f>raw_podaci!A63</f>
        <v>2</v>
      </c>
      <c r="B63" s="33">
        <f>raw_podaci!B63</f>
        <v>94.51</v>
      </c>
      <c r="C63" s="33">
        <f>raw_podaci!C63</f>
        <v>97.4</v>
      </c>
      <c r="D63" s="33">
        <f>raw_podaci!D63</f>
        <v>96.17</v>
      </c>
      <c r="E63" s="33">
        <f>raw_podaci!E63</f>
        <v>92.28</v>
      </c>
      <c r="F63" s="33">
        <f>raw_podaci!F63</f>
        <v>87.83</v>
      </c>
      <c r="G63">
        <f>raw_podaci!G63/1000</f>
        <v>98.817999999999998</v>
      </c>
      <c r="H63">
        <f>raw_podaci!H63/1000000</f>
        <v>1.0575639999999999</v>
      </c>
      <c r="I63" s="33">
        <f>raw_podaci!O63</f>
        <v>4.4500000000000028</v>
      </c>
      <c r="J63" s="19"/>
      <c r="K63" s="19"/>
      <c r="L63" s="19"/>
      <c r="M63" s="19"/>
      <c r="N63" s="19"/>
      <c r="O63" s="19"/>
      <c r="P63" s="19"/>
      <c r="Q63" s="19"/>
      <c r="R63" s="16"/>
      <c r="S63" s="3">
        <f>raw_podaci!A84</f>
        <v>23</v>
      </c>
      <c r="T63" s="12">
        <f>raw_podaci!O84</f>
        <v>0.75</v>
      </c>
    </row>
    <row r="64" spans="1:20" x14ac:dyDescent="0.35">
      <c r="A64" s="8">
        <f>raw_podaci!A64</f>
        <v>3</v>
      </c>
      <c r="B64" s="33">
        <f>raw_podaci!B64</f>
        <v>93.75</v>
      </c>
      <c r="C64" s="33">
        <f>raw_podaci!C64</f>
        <v>93.99</v>
      </c>
      <c r="D64" s="33">
        <f>raw_podaci!D64</f>
        <v>94.98</v>
      </c>
      <c r="E64" s="33">
        <f>raw_podaci!E64</f>
        <v>95.03</v>
      </c>
      <c r="F64" s="33">
        <f>raw_podaci!F64</f>
        <v>86.43</v>
      </c>
      <c r="G64">
        <f>raw_podaci!G64/1000</f>
        <v>121.301</v>
      </c>
      <c r="H64">
        <f>raw_podaci!H64/1000000</f>
        <v>1.2389140000000001</v>
      </c>
      <c r="I64" s="33">
        <f>raw_podaci!O64</f>
        <v>8.5999999999999943</v>
      </c>
      <c r="J64" s="19"/>
      <c r="K64" s="19"/>
      <c r="L64" s="19"/>
      <c r="M64" s="19"/>
      <c r="N64" s="19"/>
      <c r="O64" s="19"/>
      <c r="P64" s="19"/>
      <c r="Q64" s="19"/>
      <c r="R64" s="16"/>
      <c r="S64" s="3">
        <f>raw_podaci!A101</f>
        <v>40</v>
      </c>
      <c r="T64" s="12">
        <f>raw_podaci!O101</f>
        <v>0.75</v>
      </c>
    </row>
    <row r="65" spans="1:20" x14ac:dyDescent="0.35">
      <c r="A65" s="8">
        <f>raw_podaci!A65</f>
        <v>4</v>
      </c>
      <c r="B65" s="33">
        <f>raw_podaci!B65</f>
        <v>93.81</v>
      </c>
      <c r="C65" s="33">
        <f>raw_podaci!C65</f>
        <v>96.85</v>
      </c>
      <c r="D65" s="33">
        <f>raw_podaci!D65</f>
        <v>96.17</v>
      </c>
      <c r="E65" s="33">
        <f>raw_podaci!E65</f>
        <v>93.16</v>
      </c>
      <c r="F65" s="33">
        <f>raw_podaci!F65</f>
        <v>81.08</v>
      </c>
      <c r="G65">
        <f>raw_podaci!G65/1000</f>
        <v>114.48</v>
      </c>
      <c r="H65">
        <f>raw_podaci!H65/1000000</f>
        <v>1.236124</v>
      </c>
      <c r="I65" s="33">
        <f>raw_podaci!O65</f>
        <v>12.079999999999998</v>
      </c>
      <c r="J65" s="19"/>
      <c r="K65" s="19"/>
      <c r="L65" s="19"/>
      <c r="M65" s="19"/>
      <c r="N65" s="19"/>
      <c r="O65" s="19"/>
      <c r="P65" s="19"/>
      <c r="Q65" s="19"/>
      <c r="R65" s="16"/>
      <c r="S65" s="3">
        <f>raw_podaci!A106</f>
        <v>45</v>
      </c>
      <c r="T65" s="12">
        <f>raw_podaci!O106</f>
        <v>0.81999999999999318</v>
      </c>
    </row>
    <row r="66" spans="1:20" x14ac:dyDescent="0.35">
      <c r="A66" s="8">
        <f>raw_podaci!A66</f>
        <v>5</v>
      </c>
      <c r="B66" s="33">
        <f>raw_podaci!B66</f>
        <v>93.31</v>
      </c>
      <c r="C66" s="33">
        <f>raw_podaci!C66</f>
        <v>96.52</v>
      </c>
      <c r="D66" s="33">
        <f>raw_podaci!D66</f>
        <v>97.05</v>
      </c>
      <c r="E66" s="33">
        <f>raw_podaci!E66</f>
        <v>90.41</v>
      </c>
      <c r="F66" s="33">
        <f>raw_podaci!F66</f>
        <v>82.92</v>
      </c>
      <c r="G66">
        <f>raw_podaci!G66/1000</f>
        <v>108.63200000000001</v>
      </c>
      <c r="H66">
        <f>raw_podaci!H66/1000000</f>
        <v>1.305874</v>
      </c>
      <c r="I66" s="33">
        <f>raw_podaci!O66</f>
        <v>7.4899999999999949</v>
      </c>
      <c r="J66" s="19"/>
      <c r="K66" s="19"/>
      <c r="L66" s="19"/>
      <c r="M66" s="19"/>
      <c r="N66" s="19"/>
      <c r="O66" s="19"/>
      <c r="P66" s="19"/>
      <c r="Q66" s="19"/>
      <c r="R66" s="16"/>
      <c r="S66" s="3">
        <f>raw_podaci!A109</f>
        <v>48</v>
      </c>
      <c r="T66" s="12">
        <f>raw_podaci!O109</f>
        <v>1.6000000000000085</v>
      </c>
    </row>
    <row r="67" spans="1:20" x14ac:dyDescent="0.35">
      <c r="A67" s="8">
        <f>raw_podaci!A67</f>
        <v>6</v>
      </c>
      <c r="B67" s="33">
        <f>raw_podaci!B67</f>
        <v>92.76</v>
      </c>
      <c r="C67" s="33">
        <f>raw_podaci!C67</f>
        <v>95.3</v>
      </c>
      <c r="D67" s="33">
        <f>raw_podaci!D67</f>
        <v>94.21</v>
      </c>
      <c r="E67" s="33">
        <f>raw_podaci!E67</f>
        <v>92.41</v>
      </c>
      <c r="F67" s="33">
        <f>raw_podaci!F67</f>
        <v>83.89</v>
      </c>
      <c r="G67">
        <f>raw_podaci!G67/1000</f>
        <v>121.67400000000001</v>
      </c>
      <c r="H67">
        <f>raw_podaci!H67/1000000</f>
        <v>1.660204</v>
      </c>
      <c r="I67" s="33">
        <f>raw_podaci!O67</f>
        <v>8.519999999999996</v>
      </c>
      <c r="J67" s="19"/>
      <c r="K67" s="19"/>
      <c r="L67" s="19"/>
      <c r="M67" s="19"/>
      <c r="N67" s="19"/>
      <c r="O67" s="19"/>
      <c r="P67" s="19"/>
      <c r="Q67" s="19"/>
      <c r="R67" s="16"/>
      <c r="S67" s="3">
        <f>raw_podaci!A108</f>
        <v>47</v>
      </c>
      <c r="T67" s="12">
        <f>raw_podaci!O108</f>
        <v>2.7399999999999949</v>
      </c>
    </row>
    <row r="68" spans="1:20" x14ac:dyDescent="0.35">
      <c r="A68" s="8">
        <f>raw_podaci!A68</f>
        <v>7</v>
      </c>
      <c r="B68" s="33">
        <f>raw_podaci!B68</f>
        <v>93.31</v>
      </c>
      <c r="C68" s="33">
        <f>raw_podaci!C68</f>
        <v>93.99</v>
      </c>
      <c r="D68" s="33">
        <f>raw_podaci!D68</f>
        <v>95.34</v>
      </c>
      <c r="E68" s="33">
        <f>raw_podaci!E68</f>
        <v>94.36</v>
      </c>
      <c r="F68" s="33">
        <f>raw_podaci!F68</f>
        <v>83.7</v>
      </c>
      <c r="G68">
        <f>raw_podaci!G68/1000</f>
        <v>122.55800000000001</v>
      </c>
      <c r="H68">
        <f>raw_podaci!H68/1000000</f>
        <v>1.3616740000000001</v>
      </c>
      <c r="I68" s="33">
        <f>raw_podaci!O68</f>
        <v>10.659999999999997</v>
      </c>
      <c r="J68" s="19"/>
      <c r="K68" s="19"/>
      <c r="L68" s="19"/>
      <c r="M68" s="19"/>
      <c r="N68" s="19"/>
      <c r="O68" s="19"/>
      <c r="P68" s="19"/>
      <c r="Q68" s="19"/>
      <c r="R68" s="16"/>
      <c r="S68" s="3">
        <f>raw_podaci!A78</f>
        <v>17</v>
      </c>
      <c r="T68" s="12">
        <f>raw_podaci!O78</f>
        <v>2.8700000000000045</v>
      </c>
    </row>
    <row r="69" spans="1:20" x14ac:dyDescent="0.35">
      <c r="A69" s="8">
        <f>raw_podaci!A69</f>
        <v>8</v>
      </c>
      <c r="B69" s="33">
        <f>raw_podaci!B69</f>
        <v>93.85</v>
      </c>
      <c r="C69" s="33">
        <f>raw_podaci!C69</f>
        <v>96.56</v>
      </c>
      <c r="D69" s="33">
        <f>raw_podaci!D69</f>
        <v>95.08</v>
      </c>
      <c r="E69" s="33">
        <f>raw_podaci!E69</f>
        <v>94.49</v>
      </c>
      <c r="F69" s="33">
        <f>raw_podaci!F69</f>
        <v>81.510000000000005</v>
      </c>
      <c r="G69">
        <f>raw_podaci!G69/1000</f>
        <v>120.29900000000001</v>
      </c>
      <c r="H69">
        <f>raw_podaci!H69/1000000</f>
        <v>1.2054339999999999</v>
      </c>
      <c r="I69" s="33">
        <f>raw_podaci!O69</f>
        <v>12.97999999999999</v>
      </c>
      <c r="J69" s="19"/>
      <c r="K69" s="19"/>
      <c r="L69" s="19"/>
      <c r="M69" s="19"/>
      <c r="N69" s="19"/>
      <c r="O69" s="19"/>
      <c r="P69" s="19"/>
      <c r="Q69" s="19"/>
      <c r="R69" s="16"/>
      <c r="S69" s="3">
        <f>raw_podaci!A76</f>
        <v>15</v>
      </c>
      <c r="T69" s="12">
        <f>raw_podaci!O76</f>
        <v>3.5499999999999972</v>
      </c>
    </row>
    <row r="70" spans="1:20" x14ac:dyDescent="0.35">
      <c r="A70" s="8">
        <f>raw_podaci!A70</f>
        <v>9</v>
      </c>
      <c r="B70" s="33">
        <f>raw_podaci!B70</f>
        <v>94.31</v>
      </c>
      <c r="C70" s="33">
        <f>raw_podaci!C70</f>
        <v>94.97</v>
      </c>
      <c r="D70" s="33">
        <f>raw_podaci!D70</f>
        <v>94.82</v>
      </c>
      <c r="E70" s="33">
        <f>raw_podaci!E70</f>
        <v>95.39</v>
      </c>
      <c r="F70" s="33">
        <f>raw_podaci!F70</f>
        <v>87.94</v>
      </c>
      <c r="G70">
        <f>raw_podaci!G70/1000</f>
        <v>127.753</v>
      </c>
      <c r="H70">
        <f>raw_podaci!H70/1000000</f>
        <v>1.102204</v>
      </c>
      <c r="I70" s="33">
        <f>raw_podaci!O70</f>
        <v>7.4500000000000028</v>
      </c>
      <c r="J70" s="19"/>
      <c r="K70" s="19"/>
      <c r="L70" s="19"/>
      <c r="M70" s="19"/>
      <c r="N70" s="19"/>
      <c r="O70" s="19"/>
      <c r="P70" s="19"/>
      <c r="Q70" s="19"/>
      <c r="R70" s="16"/>
      <c r="S70" s="3">
        <f>raw_podaci!A87</f>
        <v>26</v>
      </c>
      <c r="T70" s="12">
        <f>raw_podaci!O87</f>
        <v>3.8800000000000097</v>
      </c>
    </row>
    <row r="71" spans="1:20" x14ac:dyDescent="0.35">
      <c r="A71" s="8">
        <f>raw_podaci!A71</f>
        <v>10</v>
      </c>
      <c r="B71" s="33">
        <f>raw_podaci!B71</f>
        <v>93.61</v>
      </c>
      <c r="C71" s="33">
        <f>raw_podaci!C71</f>
        <v>93.99</v>
      </c>
      <c r="D71" s="33">
        <f>raw_podaci!D71</f>
        <v>95.31</v>
      </c>
      <c r="E71" s="33">
        <f>raw_podaci!E71</f>
        <v>95.65</v>
      </c>
      <c r="F71" s="33">
        <f>raw_podaci!F71</f>
        <v>82.79</v>
      </c>
      <c r="G71">
        <f>raw_podaci!G71/1000</f>
        <v>116.738</v>
      </c>
      <c r="H71">
        <f>raw_podaci!H71/1000000</f>
        <v>1.289134</v>
      </c>
      <c r="I71" s="33">
        <f>raw_podaci!O71</f>
        <v>12.86</v>
      </c>
      <c r="J71" s="19"/>
      <c r="K71" s="19"/>
      <c r="L71" s="19"/>
      <c r="M71" s="19"/>
      <c r="N71" s="19"/>
      <c r="O71" s="19"/>
      <c r="P71" s="19"/>
      <c r="Q71" s="19"/>
      <c r="R71" s="16"/>
      <c r="S71" s="3">
        <f>raw_podaci!A81</f>
        <v>20</v>
      </c>
      <c r="T71" s="12">
        <f>raw_podaci!O81</f>
        <v>4.2800000000000011</v>
      </c>
    </row>
    <row r="72" spans="1:20" x14ac:dyDescent="0.35">
      <c r="A72" s="8">
        <f>raw_podaci!A72</f>
        <v>11</v>
      </c>
      <c r="B72" s="33">
        <f>raw_podaci!B72</f>
        <v>93.35</v>
      </c>
      <c r="C72" s="33">
        <f>raw_podaci!C72</f>
        <v>96.56</v>
      </c>
      <c r="D72" s="33">
        <f>raw_podaci!D72</f>
        <v>96.58</v>
      </c>
      <c r="E72" s="33">
        <f>raw_podaci!E72</f>
        <v>93.29</v>
      </c>
      <c r="F72" s="33">
        <f>raw_podaci!F72</f>
        <v>76.930000000000007</v>
      </c>
      <c r="G72">
        <f>raw_podaci!G72/1000</f>
        <v>110.398</v>
      </c>
      <c r="H72">
        <f>raw_podaci!H72/1000000</f>
        <v>1.333774</v>
      </c>
      <c r="I72" s="33">
        <f>raw_podaci!O72</f>
        <v>16.36</v>
      </c>
      <c r="J72" s="19"/>
      <c r="K72" s="19"/>
      <c r="L72" s="19"/>
      <c r="M72" s="19"/>
      <c r="N72" s="19"/>
      <c r="O72" s="19"/>
      <c r="P72" s="19"/>
      <c r="Q72" s="19"/>
      <c r="R72" s="16"/>
      <c r="S72" s="3">
        <f>raw_podaci!A63</f>
        <v>2</v>
      </c>
      <c r="T72" s="12">
        <f>raw_podaci!O63</f>
        <v>4.4500000000000028</v>
      </c>
    </row>
    <row r="73" spans="1:20" x14ac:dyDescent="0.35">
      <c r="A73" s="8">
        <f>raw_podaci!A73</f>
        <v>12</v>
      </c>
      <c r="B73" s="33">
        <f>raw_podaci!B73</f>
        <v>93.49</v>
      </c>
      <c r="C73" s="33">
        <f>raw_podaci!C73</f>
        <v>96.02</v>
      </c>
      <c r="D73" s="33">
        <f>raw_podaci!D73</f>
        <v>95.14</v>
      </c>
      <c r="E73" s="33">
        <f>raw_podaci!E73</f>
        <v>92.18</v>
      </c>
      <c r="F73" s="33">
        <f>raw_podaci!F73</f>
        <v>86.05</v>
      </c>
      <c r="G73">
        <f>raw_podaci!G73/1000</f>
        <v>114.355</v>
      </c>
      <c r="H73">
        <f>raw_podaci!H73/1000000</f>
        <v>1.289134</v>
      </c>
      <c r="I73" s="33">
        <f>raw_podaci!O73</f>
        <v>6.1300000000000097</v>
      </c>
      <c r="J73" s="19"/>
      <c r="K73" s="19"/>
      <c r="L73" s="19"/>
      <c r="M73" s="19"/>
      <c r="N73" s="19"/>
      <c r="O73" s="19"/>
      <c r="P73" s="19"/>
      <c r="Q73" s="19"/>
      <c r="R73" s="16"/>
      <c r="S73" s="3">
        <f>raw_podaci!A111</f>
        <v>50</v>
      </c>
      <c r="T73" s="12">
        <f>raw_podaci!O111</f>
        <v>4.7399999999999949</v>
      </c>
    </row>
    <row r="74" spans="1:20" x14ac:dyDescent="0.35">
      <c r="A74" s="8">
        <f>raw_podaci!A74</f>
        <v>13</v>
      </c>
      <c r="B74" s="33">
        <f>raw_podaci!B74</f>
        <v>93.37</v>
      </c>
      <c r="C74" s="33">
        <f>raw_podaci!C74</f>
        <v>96.27</v>
      </c>
      <c r="D74" s="33">
        <f>raw_podaci!D74</f>
        <v>95.52</v>
      </c>
      <c r="E74" s="33">
        <f>raw_podaci!E74</f>
        <v>92.65</v>
      </c>
      <c r="F74" s="33">
        <f>raw_podaci!F74</f>
        <v>82.21</v>
      </c>
      <c r="G74">
        <f>raw_podaci!G74/1000</f>
        <v>118.509</v>
      </c>
      <c r="H74">
        <f>raw_podaci!H74/1000000</f>
        <v>1.333774</v>
      </c>
      <c r="I74" s="33">
        <f>raw_podaci!O74</f>
        <v>10.440000000000012</v>
      </c>
      <c r="J74" s="19"/>
      <c r="K74" s="19"/>
      <c r="L74" s="19"/>
      <c r="M74" s="19"/>
      <c r="N74" s="19"/>
      <c r="O74" s="19"/>
      <c r="P74" s="19"/>
      <c r="Q74" s="19"/>
      <c r="R74" s="16"/>
      <c r="S74" s="3">
        <f>raw_podaci!A85</f>
        <v>24</v>
      </c>
      <c r="T74" s="12">
        <f>raw_podaci!O85</f>
        <v>4.8400000000000034</v>
      </c>
    </row>
    <row r="75" spans="1:20" x14ac:dyDescent="0.35">
      <c r="A75" s="8">
        <f>raw_podaci!A75</f>
        <v>14</v>
      </c>
      <c r="B75" s="33">
        <f>raw_podaci!B75</f>
        <v>93.31</v>
      </c>
      <c r="C75" s="33">
        <f>raw_podaci!C75</f>
        <v>97.42</v>
      </c>
      <c r="D75" s="33">
        <f>raw_podaci!D75</f>
        <v>94.13</v>
      </c>
      <c r="E75" s="33">
        <f>raw_podaci!E75</f>
        <v>92.4</v>
      </c>
      <c r="F75" s="33">
        <f>raw_podaci!F75</f>
        <v>82.98</v>
      </c>
      <c r="G75">
        <f>raw_podaci!G75/1000</f>
        <v>99.850999999999999</v>
      </c>
      <c r="H75">
        <f>raw_podaci!H75/1000000</f>
        <v>1.305874</v>
      </c>
      <c r="I75" s="33">
        <f>raw_podaci!O75</f>
        <v>9.4200000000000017</v>
      </c>
      <c r="J75" s="19"/>
      <c r="K75" s="19"/>
      <c r="L75" s="19"/>
      <c r="M75" s="19"/>
      <c r="N75" s="19"/>
      <c r="O75" s="19"/>
      <c r="P75" s="19"/>
      <c r="Q75" s="19"/>
      <c r="R75" s="16"/>
      <c r="S75" s="3">
        <f>raw_podaci!A91</f>
        <v>30</v>
      </c>
      <c r="T75" s="12">
        <f>raw_podaci!O91</f>
        <v>4.9200000000000017</v>
      </c>
    </row>
    <row r="76" spans="1:20" x14ac:dyDescent="0.35">
      <c r="A76" s="8">
        <f>raw_podaci!A76</f>
        <v>15</v>
      </c>
      <c r="B76" s="33">
        <f>raw_podaci!B76</f>
        <v>94.35</v>
      </c>
      <c r="C76" s="33">
        <f>raw_podaci!C76</f>
        <v>95.3</v>
      </c>
      <c r="D76" s="33">
        <f>raw_podaci!D76</f>
        <v>94.64</v>
      </c>
      <c r="E76" s="33">
        <f>raw_podaci!E76</f>
        <v>94.36</v>
      </c>
      <c r="F76" s="33">
        <f>raw_podaci!F76</f>
        <v>90.81</v>
      </c>
      <c r="G76">
        <f>raw_podaci!G76/1000</f>
        <v>136.203</v>
      </c>
      <c r="H76">
        <f>raw_podaci!H76/1000000</f>
        <v>1.096624</v>
      </c>
      <c r="I76" s="33">
        <f>raw_podaci!O76</f>
        <v>3.5499999999999972</v>
      </c>
      <c r="J76" s="19"/>
      <c r="K76" s="19"/>
      <c r="L76" s="19"/>
      <c r="M76" s="19"/>
      <c r="N76" s="19"/>
      <c r="O76" s="19"/>
      <c r="P76" s="19"/>
      <c r="Q76" s="19"/>
      <c r="R76" s="16"/>
      <c r="S76" s="3">
        <f>raw_podaci!A97</f>
        <v>36</v>
      </c>
      <c r="T76" s="12">
        <f>raw_podaci!O97</f>
        <v>5.9199999999999875</v>
      </c>
    </row>
    <row r="77" spans="1:20" x14ac:dyDescent="0.35">
      <c r="A77" s="8">
        <f>raw_podaci!A77</f>
        <v>16</v>
      </c>
      <c r="B77" s="33">
        <f>raw_podaci!B77</f>
        <v>94.7</v>
      </c>
      <c r="C77" s="33">
        <f>raw_podaci!C77</f>
        <v>96.82</v>
      </c>
      <c r="D77" s="33">
        <f>raw_podaci!D77</f>
        <v>96.37</v>
      </c>
      <c r="E77" s="33">
        <f>raw_podaci!E77</f>
        <v>94.96</v>
      </c>
      <c r="F77" s="33">
        <f>raw_podaci!F77</f>
        <v>82.78</v>
      </c>
      <c r="G77">
        <f>raw_podaci!G77/1000</f>
        <v>117.014</v>
      </c>
      <c r="H77">
        <f>raw_podaci!H77/1000000</f>
        <v>1.068724</v>
      </c>
      <c r="I77" s="33">
        <f>raw_podaci!O77</f>
        <v>12.179999999999993</v>
      </c>
      <c r="J77" s="19"/>
      <c r="K77" s="19"/>
      <c r="L77" s="19"/>
      <c r="M77" s="19"/>
      <c r="N77" s="19"/>
      <c r="O77" s="19"/>
      <c r="P77" s="19"/>
      <c r="Q77" s="19"/>
      <c r="R77" s="16"/>
      <c r="S77" s="3">
        <f>raw_podaci!A82</f>
        <v>21</v>
      </c>
      <c r="T77" s="12">
        <f>raw_podaci!O82</f>
        <v>6.1099999999999994</v>
      </c>
    </row>
    <row r="78" spans="1:20" x14ac:dyDescent="0.35">
      <c r="A78" s="8">
        <f>raw_podaci!A78</f>
        <v>17</v>
      </c>
      <c r="B78" s="33">
        <f>raw_podaci!B78</f>
        <v>95.01</v>
      </c>
      <c r="C78" s="33">
        <f>raw_podaci!C78</f>
        <v>97.42</v>
      </c>
      <c r="D78" s="33">
        <f>raw_podaci!D78</f>
        <v>96.15</v>
      </c>
      <c r="E78" s="33">
        <f>raw_podaci!E78</f>
        <v>93.06</v>
      </c>
      <c r="F78" s="33">
        <f>raw_podaci!F78</f>
        <v>90.19</v>
      </c>
      <c r="G78">
        <f>raw_podaci!G78/1000</f>
        <v>110.675</v>
      </c>
      <c r="H78">
        <f>raw_podaci!H78/1000000</f>
        <v>1.0017640000000001</v>
      </c>
      <c r="I78" s="33">
        <f>raw_podaci!O78</f>
        <v>2.8700000000000045</v>
      </c>
      <c r="J78" s="19"/>
      <c r="K78" s="19"/>
      <c r="L78" s="19"/>
      <c r="M78" s="19"/>
      <c r="N78" s="19"/>
      <c r="O78" s="19"/>
      <c r="P78" s="19"/>
      <c r="Q78" s="19"/>
      <c r="R78" s="16"/>
      <c r="S78" s="3">
        <f>raw_podaci!A73</f>
        <v>12</v>
      </c>
      <c r="T78" s="12">
        <f>raw_podaci!O73</f>
        <v>6.1300000000000097</v>
      </c>
    </row>
    <row r="79" spans="1:20" x14ac:dyDescent="0.35">
      <c r="A79" s="8">
        <f>raw_podaci!A79</f>
        <v>18</v>
      </c>
      <c r="B79" s="33">
        <f>raw_podaci!B79</f>
        <v>94.03</v>
      </c>
      <c r="C79" s="33">
        <f>raw_podaci!C79</f>
        <v>97.42</v>
      </c>
      <c r="D79" s="33">
        <f>raw_podaci!D79</f>
        <v>95.85</v>
      </c>
      <c r="E79" s="33">
        <f>raw_podaci!E79</f>
        <v>89.86</v>
      </c>
      <c r="F79" s="33">
        <f>raw_podaci!F79</f>
        <v>91.2</v>
      </c>
      <c r="G79">
        <f>raw_podaci!G79/1000</f>
        <v>114.35299999999999</v>
      </c>
      <c r="H79">
        <f>raw_podaci!H79/1000000</f>
        <v>1.155214</v>
      </c>
      <c r="I79" s="33">
        <f>raw_podaci!O79</f>
        <v>-1.3400000000000034</v>
      </c>
      <c r="J79" s="19"/>
      <c r="K79" s="19"/>
      <c r="L79" s="19"/>
      <c r="M79" s="19"/>
      <c r="N79" s="19"/>
      <c r="O79" s="19"/>
      <c r="P79" s="19"/>
      <c r="Q79" s="19"/>
      <c r="R79" s="16"/>
      <c r="S79" s="3">
        <f>raw_podaci!A80</f>
        <v>19</v>
      </c>
      <c r="T79" s="12">
        <f>raw_podaci!O80</f>
        <v>6.3499999999999943</v>
      </c>
    </row>
    <row r="80" spans="1:20" x14ac:dyDescent="0.35">
      <c r="A80" s="8">
        <f>raw_podaci!A80</f>
        <v>19</v>
      </c>
      <c r="B80" s="33">
        <f>raw_podaci!B80</f>
        <v>94.5</v>
      </c>
      <c r="C80" s="33">
        <f>raw_podaci!C80</f>
        <v>95.33</v>
      </c>
      <c r="D80" s="33">
        <f>raw_podaci!D80</f>
        <v>96.52</v>
      </c>
      <c r="E80" s="33">
        <f>raw_podaci!E80</f>
        <v>94.03</v>
      </c>
      <c r="F80" s="33">
        <f>raw_podaci!F80</f>
        <v>87.68</v>
      </c>
      <c r="G80">
        <f>raw_podaci!G80/1000</f>
        <v>147.90299999999999</v>
      </c>
      <c r="H80">
        <f>raw_podaci!H80/1000000</f>
        <v>1.102204</v>
      </c>
      <c r="I80" s="33">
        <f>raw_podaci!O80</f>
        <v>6.3499999999999943</v>
      </c>
      <c r="J80" s="19"/>
      <c r="K80" s="19"/>
      <c r="L80" s="19"/>
      <c r="M80" s="19"/>
      <c r="N80" s="19"/>
      <c r="O80" s="19"/>
      <c r="P80" s="19"/>
      <c r="Q80" s="19"/>
      <c r="R80" s="16"/>
      <c r="S80" s="3">
        <f>raw_podaci!A98</f>
        <v>37</v>
      </c>
      <c r="T80" s="12">
        <f>raw_podaci!O98</f>
        <v>6.5</v>
      </c>
    </row>
    <row r="81" spans="1:20" x14ac:dyDescent="0.35">
      <c r="A81" s="8">
        <f>raw_podaci!A81</f>
        <v>20</v>
      </c>
      <c r="B81" s="33">
        <f>raw_podaci!B81</f>
        <v>94.65</v>
      </c>
      <c r="C81" s="33">
        <f>raw_podaci!C81</f>
        <v>96.16</v>
      </c>
      <c r="D81" s="33">
        <f>raw_podaci!D81</f>
        <v>95.71</v>
      </c>
      <c r="E81" s="33">
        <f>raw_podaci!E81</f>
        <v>93.84</v>
      </c>
      <c r="F81" s="33">
        <f>raw_podaci!F81</f>
        <v>89.56</v>
      </c>
      <c r="G81">
        <f>raw_podaci!G81/1000</f>
        <v>134.863</v>
      </c>
      <c r="H81">
        <f>raw_podaci!H81/1000000</f>
        <v>1.0268740000000001</v>
      </c>
      <c r="I81" s="33">
        <f>raw_podaci!O81</f>
        <v>4.2800000000000011</v>
      </c>
      <c r="J81" s="19"/>
      <c r="K81" s="19"/>
      <c r="L81" s="19"/>
      <c r="M81" s="19"/>
      <c r="N81" s="19"/>
      <c r="O81" s="19"/>
      <c r="P81" s="19"/>
      <c r="Q81" s="19"/>
      <c r="R81" s="16"/>
      <c r="S81" s="3">
        <f>raw_podaci!A104</f>
        <v>43</v>
      </c>
      <c r="T81" s="12">
        <f>raw_podaci!O104</f>
        <v>6.5400000000000063</v>
      </c>
    </row>
    <row r="82" spans="1:20" x14ac:dyDescent="0.35">
      <c r="A82" s="8">
        <f>raw_podaci!A82</f>
        <v>21</v>
      </c>
      <c r="B82" s="33">
        <f>raw_podaci!B82</f>
        <v>93.58</v>
      </c>
      <c r="C82" s="33">
        <f>raw_podaci!C82</f>
        <v>97.13</v>
      </c>
      <c r="D82" s="33">
        <f>raw_podaci!D82</f>
        <v>93.85</v>
      </c>
      <c r="E82" s="33">
        <f>raw_podaci!E82</f>
        <v>92.51</v>
      </c>
      <c r="F82" s="33">
        <f>raw_podaci!F82</f>
        <v>86.4</v>
      </c>
      <c r="G82">
        <f>raw_podaci!G82/1000</f>
        <v>107.82599999999999</v>
      </c>
      <c r="H82">
        <f>raw_podaci!H82/1000000</f>
        <v>1.2947139999999999</v>
      </c>
      <c r="I82" s="33">
        <f>raw_podaci!O82</f>
        <v>6.1099999999999994</v>
      </c>
      <c r="J82" s="19"/>
      <c r="K82" s="19"/>
      <c r="L82" s="19"/>
      <c r="M82" s="19"/>
      <c r="N82" s="19"/>
      <c r="O82" s="19"/>
      <c r="P82" s="19"/>
      <c r="Q82" s="19"/>
      <c r="R82" s="16"/>
      <c r="S82" s="3">
        <f>raw_podaci!A86</f>
        <v>25</v>
      </c>
      <c r="T82" s="12">
        <f>raw_podaci!O86</f>
        <v>6.8399999999999892</v>
      </c>
    </row>
    <row r="83" spans="1:20" x14ac:dyDescent="0.35">
      <c r="A83" s="8">
        <f>raw_podaci!A83</f>
        <v>22</v>
      </c>
      <c r="B83" s="33">
        <f>raw_podaci!B83</f>
        <v>93.66</v>
      </c>
      <c r="C83" s="33">
        <f>raw_podaci!C83</f>
        <v>95.33</v>
      </c>
      <c r="D83" s="33">
        <f>raw_podaci!D83</f>
        <v>96.17</v>
      </c>
      <c r="E83" s="33">
        <f>raw_podaci!E83</f>
        <v>93.7</v>
      </c>
      <c r="F83" s="33">
        <f>raw_podaci!F83</f>
        <v>82.52</v>
      </c>
      <c r="G83">
        <f>raw_podaci!G83/1000</f>
        <v>138.739</v>
      </c>
      <c r="H83">
        <f>raw_podaci!H83/1000000</f>
        <v>1.236124</v>
      </c>
      <c r="I83" s="33">
        <f>raw_podaci!O83</f>
        <v>11.180000000000007</v>
      </c>
      <c r="J83" s="19"/>
      <c r="K83" s="19"/>
      <c r="L83" s="19"/>
      <c r="M83" s="19"/>
      <c r="N83" s="19"/>
      <c r="O83" s="19"/>
      <c r="P83" s="19"/>
      <c r="Q83" s="19"/>
      <c r="R83" s="16"/>
      <c r="S83" s="3">
        <f>raw_podaci!A94</f>
        <v>33</v>
      </c>
      <c r="T83" s="12">
        <f>raw_podaci!O94</f>
        <v>7.2400000000000091</v>
      </c>
    </row>
    <row r="84" spans="1:20" x14ac:dyDescent="0.35">
      <c r="A84" s="8">
        <f>raw_podaci!A84</f>
        <v>23</v>
      </c>
      <c r="B84" s="33">
        <f>raw_podaci!B84</f>
        <v>94.11</v>
      </c>
      <c r="C84" s="33">
        <f>raw_podaci!C84</f>
        <v>96.85</v>
      </c>
      <c r="D84" s="33">
        <f>raw_podaci!D84</f>
        <v>96.69</v>
      </c>
      <c r="E84" s="33">
        <f>raw_podaci!E84</f>
        <v>90.41</v>
      </c>
      <c r="F84" s="33">
        <f>raw_podaci!F84</f>
        <v>89.66</v>
      </c>
      <c r="G84">
        <f>raw_podaci!G84/1000</f>
        <v>114.54300000000001</v>
      </c>
      <c r="H84">
        <f>raw_podaci!H84/1000000</f>
        <v>1.138474</v>
      </c>
      <c r="I84" s="33">
        <f>raw_podaci!O84</f>
        <v>0.75</v>
      </c>
      <c r="J84" s="19"/>
      <c r="K84" s="19"/>
      <c r="L84" s="19"/>
      <c r="M84" s="19"/>
      <c r="N84" s="19"/>
      <c r="O84" s="19"/>
      <c r="P84" s="19"/>
      <c r="Q84" s="19"/>
      <c r="R84" s="16"/>
      <c r="S84" s="3">
        <f>raw_podaci!A96</f>
        <v>35</v>
      </c>
      <c r="T84" s="12">
        <f>raw_podaci!O96</f>
        <v>7.2999999999999972</v>
      </c>
    </row>
    <row r="85" spans="1:20" x14ac:dyDescent="0.35">
      <c r="A85" s="8">
        <f>raw_podaci!A85</f>
        <v>24</v>
      </c>
      <c r="B85" s="33">
        <f>raw_podaci!B85</f>
        <v>94.84</v>
      </c>
      <c r="C85" s="33">
        <f>raw_podaci!C85</f>
        <v>97.42</v>
      </c>
      <c r="D85" s="33">
        <f>raw_podaci!D85</f>
        <v>94.84</v>
      </c>
      <c r="E85" s="33">
        <f>raw_podaci!E85</f>
        <v>94.14</v>
      </c>
      <c r="F85" s="33">
        <f>raw_podaci!F85</f>
        <v>89.3</v>
      </c>
      <c r="G85">
        <f>raw_podaci!G85/1000</f>
        <v>109.524</v>
      </c>
      <c r="H85">
        <f>raw_podaci!H85/1000000</f>
        <v>1.0017640000000001</v>
      </c>
      <c r="I85" s="33">
        <f>raw_podaci!O85</f>
        <v>4.8400000000000034</v>
      </c>
      <c r="J85" s="19"/>
      <c r="K85" s="19"/>
      <c r="L85" s="19"/>
      <c r="M85" s="19"/>
      <c r="N85" s="19"/>
      <c r="O85" s="19"/>
      <c r="P85" s="19"/>
      <c r="Q85" s="19"/>
      <c r="R85" s="16"/>
      <c r="S85" s="3">
        <f>raw_podaci!A90</f>
        <v>29</v>
      </c>
      <c r="T85" s="12">
        <f>raw_podaci!O90</f>
        <v>7.4299999999999926</v>
      </c>
    </row>
    <row r="86" spans="1:20" x14ac:dyDescent="0.35">
      <c r="A86" s="8">
        <f>raw_podaci!A86</f>
        <v>25</v>
      </c>
      <c r="B86" s="33">
        <f>raw_podaci!B86</f>
        <v>93.48</v>
      </c>
      <c r="C86" s="33">
        <f>raw_podaci!C86</f>
        <v>93.99</v>
      </c>
      <c r="D86" s="33">
        <f>raw_podaci!D86</f>
        <v>94.5</v>
      </c>
      <c r="E86" s="33">
        <f>raw_podaci!E86</f>
        <v>94.27</v>
      </c>
      <c r="F86" s="33">
        <f>raw_podaci!F86</f>
        <v>87.43</v>
      </c>
      <c r="G86">
        <f>raw_podaci!G86/1000</f>
        <v>129.774</v>
      </c>
      <c r="H86">
        <f>raw_podaci!H86/1000000</f>
        <v>1.2947139999999999</v>
      </c>
      <c r="I86" s="33">
        <f>raw_podaci!O86</f>
        <v>6.8399999999999892</v>
      </c>
      <c r="J86" s="19"/>
      <c r="K86" s="19"/>
      <c r="L86" s="19"/>
      <c r="M86" s="19"/>
      <c r="N86" s="19"/>
      <c r="O86" s="19"/>
      <c r="P86" s="19"/>
      <c r="Q86" s="19"/>
      <c r="R86" s="16"/>
      <c r="S86" s="3">
        <f>raw_podaci!A70</f>
        <v>9</v>
      </c>
      <c r="T86" s="12">
        <f>raw_podaci!O70</f>
        <v>7.4500000000000028</v>
      </c>
    </row>
    <row r="87" spans="1:20" x14ac:dyDescent="0.35">
      <c r="A87" s="8">
        <f>raw_podaci!A87</f>
        <v>26</v>
      </c>
      <c r="B87" s="33">
        <f>raw_podaci!B87</f>
        <v>94.83</v>
      </c>
      <c r="C87" s="33">
        <f>raw_podaci!C87</f>
        <v>96.5</v>
      </c>
      <c r="D87" s="33">
        <f>raw_podaci!D87</f>
        <v>97.05</v>
      </c>
      <c r="E87" s="33">
        <f>raw_podaci!E87</f>
        <v>92.9</v>
      </c>
      <c r="F87" s="33">
        <f>raw_podaci!F87</f>
        <v>89.02</v>
      </c>
      <c r="G87">
        <f>raw_podaci!G87/1000</f>
        <v>115.64700000000001</v>
      </c>
      <c r="H87">
        <f>raw_podaci!H87/1000000</f>
        <v>1.060354</v>
      </c>
      <c r="I87" s="33">
        <f>raw_podaci!O87</f>
        <v>3.8800000000000097</v>
      </c>
      <c r="J87" s="19"/>
      <c r="K87" s="19"/>
      <c r="L87" s="19"/>
      <c r="M87" s="19"/>
      <c r="N87" s="19"/>
      <c r="O87" s="19"/>
      <c r="P87" s="19"/>
      <c r="Q87" s="19"/>
      <c r="R87" s="16"/>
      <c r="S87" s="3">
        <f>raw_podaci!A66</f>
        <v>5</v>
      </c>
      <c r="T87" s="12">
        <f>raw_podaci!O66</f>
        <v>7.4899999999999949</v>
      </c>
    </row>
    <row r="88" spans="1:20" x14ac:dyDescent="0.35">
      <c r="A88" s="8">
        <f>raw_podaci!A88</f>
        <v>27</v>
      </c>
      <c r="B88" s="33">
        <f>raw_podaci!B88</f>
        <v>94.47</v>
      </c>
      <c r="C88" s="33">
        <f>raw_podaci!C88</f>
        <v>95.33</v>
      </c>
      <c r="D88" s="33">
        <f>raw_podaci!D88</f>
        <v>95.42</v>
      </c>
      <c r="E88" s="33">
        <f>raw_podaci!E88</f>
        <v>96.08</v>
      </c>
      <c r="F88" s="33">
        <f>raw_podaci!F88</f>
        <v>84.68</v>
      </c>
      <c r="G88">
        <f>raw_podaci!G88/1000</f>
        <v>136.46899999999999</v>
      </c>
      <c r="H88">
        <f>raw_podaci!H88/1000000</f>
        <v>1.068724</v>
      </c>
      <c r="I88" s="33">
        <f>raw_podaci!O88</f>
        <v>11.399999999999991</v>
      </c>
      <c r="J88" s="19"/>
      <c r="K88" s="19"/>
      <c r="L88" s="19"/>
      <c r="M88" s="19"/>
      <c r="N88" s="19"/>
      <c r="O88" s="19"/>
      <c r="P88" s="19"/>
      <c r="Q88" s="19"/>
      <c r="R88" s="16"/>
      <c r="S88" s="3">
        <f>raw_podaci!A95</f>
        <v>34</v>
      </c>
      <c r="T88" s="12">
        <f>raw_podaci!O95</f>
        <v>8.0099999999999909</v>
      </c>
    </row>
    <row r="89" spans="1:20" x14ac:dyDescent="0.35">
      <c r="A89" s="8">
        <f>raw_podaci!A89</f>
        <v>28</v>
      </c>
      <c r="B89" s="33">
        <f>raw_podaci!B89</f>
        <v>92.59</v>
      </c>
      <c r="C89" s="33">
        <f>raw_podaci!C89</f>
        <v>97.42</v>
      </c>
      <c r="D89" s="33">
        <f>raw_podaci!D89</f>
        <v>95.87</v>
      </c>
      <c r="E89" s="33">
        <f>raw_podaci!E89</f>
        <v>89.71</v>
      </c>
      <c r="F89" s="33">
        <f>raw_podaci!F89</f>
        <v>80.05</v>
      </c>
      <c r="G89">
        <f>raw_podaci!G89/1000</f>
        <v>103.602</v>
      </c>
      <c r="H89">
        <f>raw_podaci!H89/1000000</f>
        <v>1.456534</v>
      </c>
      <c r="I89" s="33">
        <f>raw_podaci!O89</f>
        <v>9.6599999999999966</v>
      </c>
      <c r="J89" s="19"/>
      <c r="K89" s="19"/>
      <c r="L89" s="19"/>
      <c r="M89" s="19"/>
      <c r="N89" s="19"/>
      <c r="O89" s="19"/>
      <c r="P89" s="19"/>
      <c r="Q89" s="19"/>
      <c r="R89" s="16"/>
      <c r="S89" s="3">
        <f>raw_podaci!A102</f>
        <v>41</v>
      </c>
      <c r="T89" s="12">
        <f>raw_podaci!O102</f>
        <v>8.3100000000000023</v>
      </c>
    </row>
    <row r="90" spans="1:20" x14ac:dyDescent="0.35">
      <c r="A90" s="8">
        <f>raw_podaci!A90</f>
        <v>29</v>
      </c>
      <c r="B90" s="33">
        <f>raw_podaci!B90</f>
        <v>93.31</v>
      </c>
      <c r="C90" s="33">
        <f>raw_podaci!C90</f>
        <v>96.85</v>
      </c>
      <c r="D90" s="33">
        <f>raw_podaci!D90</f>
        <v>96.69</v>
      </c>
      <c r="E90" s="33">
        <f>raw_podaci!E90</f>
        <v>90.41</v>
      </c>
      <c r="F90" s="33">
        <f>raw_podaci!F90</f>
        <v>82.98</v>
      </c>
      <c r="G90">
        <f>raw_podaci!G90/1000</f>
        <v>111.06100000000001</v>
      </c>
      <c r="H90">
        <f>raw_podaci!H90/1000000</f>
        <v>1.305874</v>
      </c>
      <c r="I90" s="33">
        <f>raw_podaci!O90</f>
        <v>7.4299999999999926</v>
      </c>
      <c r="J90" s="19"/>
      <c r="K90" s="19"/>
      <c r="L90" s="19"/>
      <c r="M90" s="19"/>
      <c r="N90" s="19"/>
      <c r="O90" s="19"/>
      <c r="P90" s="19"/>
      <c r="Q90" s="19"/>
      <c r="R90" s="16"/>
      <c r="S90" s="3">
        <f>raw_podaci!A100</f>
        <v>39</v>
      </c>
      <c r="T90" s="12">
        <f>raw_podaci!O100</f>
        <v>8.36</v>
      </c>
    </row>
    <row r="91" spans="1:20" x14ac:dyDescent="0.35">
      <c r="A91" s="8">
        <f>raw_podaci!A91</f>
        <v>30</v>
      </c>
      <c r="B91" s="33">
        <f>raw_podaci!B91</f>
        <v>94.33</v>
      </c>
      <c r="C91" s="33">
        <f>raw_podaci!C91</f>
        <v>95.38</v>
      </c>
      <c r="D91" s="33">
        <f>raw_podaci!D91</f>
        <v>96.53</v>
      </c>
      <c r="E91" s="33">
        <f>raw_podaci!E91</f>
        <v>93.22</v>
      </c>
      <c r="F91" s="33">
        <f>raw_podaci!F91</f>
        <v>88.3</v>
      </c>
      <c r="G91">
        <f>raw_podaci!G91/1000</f>
        <v>118.496</v>
      </c>
      <c r="H91">
        <f>raw_podaci!H91/1000000</f>
        <v>1.110574</v>
      </c>
      <c r="I91" s="33">
        <f>raw_podaci!O91</f>
        <v>4.9200000000000017</v>
      </c>
      <c r="J91" s="19"/>
      <c r="K91" s="19"/>
      <c r="L91" s="19"/>
      <c r="M91" s="19"/>
      <c r="N91" s="19"/>
      <c r="O91" s="19"/>
      <c r="P91" s="19"/>
      <c r="Q91" s="19"/>
      <c r="R91" s="16"/>
      <c r="S91" s="3">
        <f>raw_podaci!A67</f>
        <v>6</v>
      </c>
      <c r="T91" s="12">
        <f>raw_podaci!O67</f>
        <v>8.519999999999996</v>
      </c>
    </row>
    <row r="92" spans="1:20" x14ac:dyDescent="0.35">
      <c r="A92" s="8">
        <f>raw_podaci!A92</f>
        <v>31</v>
      </c>
      <c r="B92" s="33">
        <f>raw_podaci!B92</f>
        <v>93.97</v>
      </c>
      <c r="C92" s="33">
        <f>raw_podaci!C92</f>
        <v>95.33</v>
      </c>
      <c r="D92" s="33">
        <f>raw_podaci!D92</f>
        <v>94.52</v>
      </c>
      <c r="E92" s="33">
        <f>raw_podaci!E92</f>
        <v>95.09</v>
      </c>
      <c r="F92" s="33">
        <f>raw_podaci!F92</f>
        <v>85.69</v>
      </c>
      <c r="G92">
        <f>raw_podaci!G92/1000</f>
        <v>134.70500000000001</v>
      </c>
      <c r="H92">
        <f>raw_podaci!H92/1000000</f>
        <v>1.1803239999999999</v>
      </c>
      <c r="I92" s="33">
        <f>raw_podaci!O92</f>
        <v>9.4000000000000057</v>
      </c>
      <c r="J92" s="19"/>
      <c r="K92" s="19"/>
      <c r="L92" s="19"/>
      <c r="M92" s="19"/>
      <c r="N92" s="19"/>
      <c r="O92" s="19"/>
      <c r="P92" s="19"/>
      <c r="Q92" s="19"/>
      <c r="R92" s="16"/>
      <c r="S92" s="3">
        <f>raw_podaci!A64</f>
        <v>3</v>
      </c>
      <c r="T92" s="12">
        <f>raw_podaci!O64</f>
        <v>8.5999999999999943</v>
      </c>
    </row>
    <row r="93" spans="1:20" x14ac:dyDescent="0.35">
      <c r="A93" s="8">
        <f>raw_podaci!A93</f>
        <v>32</v>
      </c>
      <c r="B93" s="33">
        <f>raw_podaci!B93</f>
        <v>94.17</v>
      </c>
      <c r="C93" s="33">
        <f>raw_podaci!C93</f>
        <v>97.42</v>
      </c>
      <c r="D93" s="33">
        <f>raw_podaci!D93</f>
        <v>95.87</v>
      </c>
      <c r="E93" s="33">
        <f>raw_podaci!E93</f>
        <v>93.12</v>
      </c>
      <c r="F93" s="33">
        <f>raw_podaci!F93</f>
        <v>83.27</v>
      </c>
      <c r="G93">
        <f>raw_podaci!G93/1000</f>
        <v>106.038</v>
      </c>
      <c r="H93">
        <f>raw_podaci!H93/1000000</f>
        <v>1.155214</v>
      </c>
      <c r="I93" s="33">
        <f>raw_podaci!O93</f>
        <v>9.8500000000000085</v>
      </c>
      <c r="J93" s="19"/>
      <c r="K93" s="19"/>
      <c r="L93" s="19"/>
      <c r="M93" s="19"/>
      <c r="N93" s="19"/>
      <c r="O93" s="19"/>
      <c r="P93" s="19"/>
      <c r="Q93" s="19"/>
      <c r="R93" s="16"/>
      <c r="S93" s="3">
        <f>raw_podaci!A99</f>
        <v>38</v>
      </c>
      <c r="T93" s="12">
        <f>raw_podaci!O99</f>
        <v>8.6199999999999903</v>
      </c>
    </row>
    <row r="94" spans="1:20" x14ac:dyDescent="0.35">
      <c r="A94" s="8">
        <f>raw_podaci!A94</f>
        <v>33</v>
      </c>
      <c r="B94" s="33">
        <f>raw_podaci!B94</f>
        <v>94.05</v>
      </c>
      <c r="C94" s="33">
        <f>raw_podaci!C94</f>
        <v>97.07</v>
      </c>
      <c r="D94" s="33">
        <f>raw_podaci!D94</f>
        <v>95.8</v>
      </c>
      <c r="E94" s="33">
        <f>raw_podaci!E94</f>
        <v>92.48</v>
      </c>
      <c r="F94" s="33">
        <f>raw_podaci!F94</f>
        <v>85.24</v>
      </c>
      <c r="G94">
        <f>raw_podaci!G94/1000</f>
        <v>105.205</v>
      </c>
      <c r="H94">
        <f>raw_podaci!H94/1000000</f>
        <v>1.155214</v>
      </c>
      <c r="I94" s="33">
        <f>raw_podaci!O94</f>
        <v>7.2400000000000091</v>
      </c>
      <c r="J94" s="19"/>
      <c r="K94" s="19"/>
      <c r="L94" s="19"/>
      <c r="M94" s="19"/>
      <c r="N94" s="19"/>
      <c r="O94" s="19"/>
      <c r="P94" s="19"/>
      <c r="Q94" s="19"/>
      <c r="R94" s="16"/>
      <c r="S94" s="3">
        <f>raw_podaci!A92</f>
        <v>31</v>
      </c>
      <c r="T94" s="12">
        <f>raw_podaci!O92</f>
        <v>9.4000000000000057</v>
      </c>
    </row>
    <row r="95" spans="1:20" x14ac:dyDescent="0.35">
      <c r="A95" s="8">
        <f>raw_podaci!A95</f>
        <v>34</v>
      </c>
      <c r="B95" s="33">
        <f>raw_podaci!B95</f>
        <v>93.74</v>
      </c>
      <c r="C95" s="33">
        <f>raw_podaci!C95</f>
        <v>96.53</v>
      </c>
      <c r="D95" s="33">
        <f>raw_podaci!D95</f>
        <v>93.53</v>
      </c>
      <c r="E95" s="33">
        <f>raw_podaci!E95</f>
        <v>94.05</v>
      </c>
      <c r="F95" s="33">
        <f>raw_podaci!F95</f>
        <v>86.04</v>
      </c>
      <c r="G95">
        <f>raw_podaci!G95/1000</f>
        <v>116.03</v>
      </c>
      <c r="H95">
        <f>raw_podaci!H95/1000000</f>
        <v>1.2389140000000001</v>
      </c>
      <c r="I95" s="33">
        <f>raw_podaci!O95</f>
        <v>8.0099999999999909</v>
      </c>
      <c r="J95" s="19"/>
      <c r="K95" s="19"/>
      <c r="L95" s="19"/>
      <c r="M95" s="19"/>
      <c r="N95" s="19"/>
      <c r="O95" s="19"/>
      <c r="P95" s="19"/>
      <c r="Q95" s="19"/>
      <c r="R95" s="16"/>
      <c r="S95" s="3">
        <f>raw_podaci!A75</f>
        <v>14</v>
      </c>
      <c r="T95" s="12">
        <f>raw_podaci!O75</f>
        <v>9.4200000000000017</v>
      </c>
    </row>
    <row r="96" spans="1:20" x14ac:dyDescent="0.35">
      <c r="A96" s="8">
        <f>raw_podaci!A96</f>
        <v>35</v>
      </c>
      <c r="B96" s="33">
        <f>raw_podaci!B96</f>
        <v>93.86</v>
      </c>
      <c r="C96" s="33">
        <f>raw_podaci!C96</f>
        <v>97.4</v>
      </c>
      <c r="D96" s="33">
        <f>raw_podaci!D96</f>
        <v>94.72</v>
      </c>
      <c r="E96" s="33">
        <f>raw_podaci!E96</f>
        <v>92.63</v>
      </c>
      <c r="F96" s="33">
        <f>raw_podaci!F96</f>
        <v>85.33</v>
      </c>
      <c r="G96">
        <f>raw_podaci!G96/1000</f>
        <v>213.99799999999999</v>
      </c>
      <c r="H96">
        <f>raw_podaci!H96/1000000</f>
        <v>1.289134</v>
      </c>
      <c r="I96" s="33">
        <f>raw_podaci!O96</f>
        <v>7.2999999999999972</v>
      </c>
      <c r="J96" s="19"/>
      <c r="K96" s="19"/>
      <c r="L96" s="19"/>
      <c r="M96" s="19"/>
      <c r="N96" s="19"/>
      <c r="O96" s="19"/>
      <c r="P96" s="19"/>
      <c r="Q96" s="19"/>
      <c r="R96" s="16"/>
      <c r="S96" s="3">
        <f>raw_podaci!A62</f>
        <v>1</v>
      </c>
      <c r="T96" s="12">
        <f>raw_podaci!O62</f>
        <v>9.6599999999999966</v>
      </c>
    </row>
    <row r="97" spans="1:20" x14ac:dyDescent="0.35">
      <c r="A97" s="8">
        <f>raw_podaci!A97</f>
        <v>36</v>
      </c>
      <c r="B97" s="33">
        <f>raw_podaci!B97</f>
        <v>93.59</v>
      </c>
      <c r="C97" s="33">
        <f>raw_podaci!C97</f>
        <v>97.07</v>
      </c>
      <c r="D97" s="33">
        <f>raw_podaci!D97</f>
        <v>95.8</v>
      </c>
      <c r="E97" s="33">
        <f>raw_podaci!E97</f>
        <v>91.1</v>
      </c>
      <c r="F97" s="33">
        <f>raw_podaci!F97</f>
        <v>85.18</v>
      </c>
      <c r="G97">
        <f>raw_podaci!G97/1000</f>
        <v>105.274</v>
      </c>
      <c r="H97">
        <f>raw_podaci!H97/1000000</f>
        <v>1.3393539999999999</v>
      </c>
      <c r="I97" s="33">
        <f>raw_podaci!O97</f>
        <v>5.9199999999999875</v>
      </c>
      <c r="J97" s="19"/>
      <c r="K97" s="19"/>
      <c r="L97" s="19"/>
      <c r="M97" s="19"/>
      <c r="N97" s="19"/>
      <c r="O97" s="19"/>
      <c r="P97" s="19"/>
      <c r="Q97" s="19"/>
      <c r="R97" s="16"/>
      <c r="S97" s="3">
        <f>raw_podaci!A89</f>
        <v>28</v>
      </c>
      <c r="T97" s="12">
        <f>raw_podaci!O89</f>
        <v>9.6599999999999966</v>
      </c>
    </row>
    <row r="98" spans="1:20" x14ac:dyDescent="0.35">
      <c r="A98" s="8">
        <f>raw_podaci!A98</f>
        <v>37</v>
      </c>
      <c r="B98" s="33">
        <f>raw_podaci!B98</f>
        <v>93.92</v>
      </c>
      <c r="C98" s="33">
        <f>raw_podaci!C98</f>
        <v>95.33</v>
      </c>
      <c r="D98" s="33">
        <f>raw_podaci!D98</f>
        <v>96.47</v>
      </c>
      <c r="E98" s="33">
        <f>raw_podaci!E98</f>
        <v>92.78</v>
      </c>
      <c r="F98" s="33">
        <f>raw_podaci!F98</f>
        <v>86.28</v>
      </c>
      <c r="G98">
        <f>raw_podaci!G98/1000</f>
        <v>136.05199999999999</v>
      </c>
      <c r="H98">
        <f>raw_podaci!H98/1000000</f>
        <v>1.2054339999999999</v>
      </c>
      <c r="I98" s="33">
        <f>raw_podaci!O98</f>
        <v>6.5</v>
      </c>
      <c r="J98" s="19"/>
      <c r="K98" s="19"/>
      <c r="L98" s="19"/>
      <c r="M98" s="19"/>
      <c r="N98" s="19"/>
      <c r="O98" s="19"/>
      <c r="P98" s="19"/>
      <c r="Q98" s="19"/>
      <c r="R98" s="16"/>
      <c r="S98" s="3">
        <f>raw_podaci!A93</f>
        <v>32</v>
      </c>
      <c r="T98" s="12">
        <f>raw_podaci!O93</f>
        <v>9.8500000000000085</v>
      </c>
    </row>
    <row r="99" spans="1:20" x14ac:dyDescent="0.35">
      <c r="A99" s="8">
        <f>raw_podaci!A99</f>
        <v>38</v>
      </c>
      <c r="B99" s="33">
        <f>raw_podaci!B99</f>
        <v>94.52</v>
      </c>
      <c r="C99" s="33">
        <f>raw_podaci!C99</f>
        <v>95.33</v>
      </c>
      <c r="D99" s="33">
        <f>raw_podaci!D99</f>
        <v>94.52</v>
      </c>
      <c r="E99" s="33">
        <f>raw_podaci!E99</f>
        <v>96.13</v>
      </c>
      <c r="F99" s="33">
        <f>raw_podaci!F99</f>
        <v>87.51</v>
      </c>
      <c r="G99">
        <f>raw_podaci!G99/1000</f>
        <v>134.74100000000001</v>
      </c>
      <c r="H99">
        <f>raw_podaci!H99/1000000</f>
        <v>1.068724</v>
      </c>
      <c r="I99" s="33">
        <f>raw_podaci!O99</f>
        <v>8.6199999999999903</v>
      </c>
      <c r="J99" s="19"/>
      <c r="K99" s="19"/>
      <c r="L99" s="19"/>
      <c r="M99" s="19"/>
      <c r="N99" s="19"/>
      <c r="O99" s="19"/>
      <c r="P99" s="19"/>
      <c r="Q99" s="19"/>
      <c r="R99" s="16"/>
      <c r="S99" s="3">
        <f>raw_podaci!A74</f>
        <v>13</v>
      </c>
      <c r="T99" s="12">
        <f>raw_podaci!O74</f>
        <v>10.440000000000012</v>
      </c>
    </row>
    <row r="100" spans="1:20" x14ac:dyDescent="0.35">
      <c r="A100" s="8">
        <f>raw_podaci!A100</f>
        <v>39</v>
      </c>
      <c r="B100" s="33">
        <f>raw_podaci!B100</f>
        <v>95.11</v>
      </c>
      <c r="C100" s="33">
        <f>raw_podaci!C100</f>
        <v>97.14</v>
      </c>
      <c r="D100" s="33">
        <f>raw_podaci!D100</f>
        <v>95.43</v>
      </c>
      <c r="E100" s="33">
        <f>raw_podaci!E100</f>
        <v>95.4</v>
      </c>
      <c r="F100" s="33">
        <f>raw_podaci!F100</f>
        <v>87.04</v>
      </c>
      <c r="G100">
        <f>raw_podaci!G100/1000</f>
        <v>114.941</v>
      </c>
      <c r="H100">
        <f>raw_podaci!H100/1000000</f>
        <v>0.93480399999999997</v>
      </c>
      <c r="I100" s="33">
        <f>raw_podaci!O100</f>
        <v>8.36</v>
      </c>
      <c r="J100" s="19"/>
      <c r="K100" s="19"/>
      <c r="L100" s="19"/>
      <c r="M100" s="19"/>
      <c r="N100" s="19"/>
      <c r="O100" s="19"/>
      <c r="P100" s="19"/>
      <c r="Q100" s="19"/>
      <c r="R100" s="16"/>
      <c r="S100" s="3">
        <f>raw_podaci!A68</f>
        <v>7</v>
      </c>
      <c r="T100" s="12">
        <f>raw_podaci!O68</f>
        <v>10.659999999999997</v>
      </c>
    </row>
    <row r="101" spans="1:20" x14ac:dyDescent="0.35">
      <c r="A101" s="8">
        <f>raw_podaci!A101</f>
        <v>40</v>
      </c>
      <c r="B101" s="33">
        <f>raw_podaci!B101</f>
        <v>94.11</v>
      </c>
      <c r="C101" s="33">
        <f>raw_podaci!C101</f>
        <v>96.83</v>
      </c>
      <c r="D101" s="33">
        <f>raw_podaci!D101</f>
        <v>96.71</v>
      </c>
      <c r="E101" s="33">
        <f>raw_podaci!E101</f>
        <v>90.41</v>
      </c>
      <c r="F101" s="33">
        <f>raw_podaci!F101</f>
        <v>89.66</v>
      </c>
      <c r="G101">
        <f>raw_podaci!G101/1000</f>
        <v>113.39400000000001</v>
      </c>
      <c r="H101">
        <f>raw_podaci!H101/1000000</f>
        <v>1.138474</v>
      </c>
      <c r="I101" s="33">
        <f>raw_podaci!O101</f>
        <v>0.75</v>
      </c>
      <c r="J101" s="19"/>
      <c r="K101" s="19"/>
      <c r="L101" s="19"/>
      <c r="M101" s="19"/>
      <c r="N101" s="19"/>
      <c r="O101" s="19"/>
      <c r="P101" s="19"/>
      <c r="Q101" s="19"/>
      <c r="R101" s="16"/>
      <c r="S101" s="3">
        <f>raw_podaci!A110</f>
        <v>49</v>
      </c>
      <c r="T101" s="12">
        <f>raw_podaci!O110</f>
        <v>11.14</v>
      </c>
    </row>
    <row r="102" spans="1:20" x14ac:dyDescent="0.35">
      <c r="A102" s="8">
        <f>raw_podaci!A102</f>
        <v>41</v>
      </c>
      <c r="B102" s="33">
        <f>raw_podaci!B102</f>
        <v>94.03</v>
      </c>
      <c r="C102" s="33">
        <f>raw_podaci!C102</f>
        <v>97.4</v>
      </c>
      <c r="D102" s="33">
        <f>raw_podaci!D102</f>
        <v>94.84</v>
      </c>
      <c r="E102" s="33">
        <f>raw_podaci!E102</f>
        <v>93.18</v>
      </c>
      <c r="F102" s="33">
        <f>raw_podaci!F102</f>
        <v>84.87</v>
      </c>
      <c r="G102">
        <f>raw_podaci!G102/1000</f>
        <v>108.194</v>
      </c>
      <c r="H102">
        <f>raw_podaci!H102/1000000</f>
        <v>1.155214</v>
      </c>
      <c r="I102" s="33">
        <f>raw_podaci!O102</f>
        <v>8.3100000000000023</v>
      </c>
      <c r="J102" s="19"/>
      <c r="K102" s="19"/>
      <c r="L102" s="19"/>
      <c r="M102" s="19"/>
      <c r="N102" s="19"/>
      <c r="O102" s="19"/>
      <c r="P102" s="19"/>
      <c r="Q102" s="19"/>
      <c r="R102" s="16"/>
      <c r="S102" s="3">
        <f>raw_podaci!A83</f>
        <v>22</v>
      </c>
      <c r="T102" s="12">
        <f>raw_podaci!O83</f>
        <v>11.180000000000007</v>
      </c>
    </row>
    <row r="103" spans="1:20" x14ac:dyDescent="0.35">
      <c r="A103" s="8">
        <f>raw_podaci!A103</f>
        <v>42</v>
      </c>
      <c r="B103" s="33">
        <f>raw_podaci!B103</f>
        <v>93.88</v>
      </c>
      <c r="C103" s="33">
        <f>raw_podaci!C103</f>
        <v>95.92</v>
      </c>
      <c r="D103" s="33">
        <f>raw_podaci!D103</f>
        <v>94.69</v>
      </c>
      <c r="E103" s="33">
        <f>raw_podaci!E103</f>
        <v>95.04</v>
      </c>
      <c r="F103" s="33">
        <f>raw_podaci!F103</f>
        <v>83.02</v>
      </c>
      <c r="G103">
        <f>raw_podaci!G103/1000</f>
        <v>126.268</v>
      </c>
      <c r="H103">
        <f>raw_podaci!H103/1000000</f>
        <v>1.236124</v>
      </c>
      <c r="I103" s="33">
        <f>raw_podaci!O103</f>
        <v>12.02000000000001</v>
      </c>
      <c r="J103" s="19"/>
      <c r="K103" s="19"/>
      <c r="L103" s="19"/>
      <c r="M103" s="19"/>
      <c r="N103" s="19"/>
      <c r="O103" s="19"/>
      <c r="P103" s="19"/>
      <c r="Q103" s="19"/>
      <c r="R103" s="16"/>
      <c r="S103" s="3">
        <f>raw_podaci!A88</f>
        <v>27</v>
      </c>
      <c r="T103" s="12">
        <f>raw_podaci!O88</f>
        <v>11.399999999999991</v>
      </c>
    </row>
    <row r="104" spans="1:20" x14ac:dyDescent="0.35">
      <c r="A104" s="8">
        <f>raw_podaci!A104</f>
        <v>43</v>
      </c>
      <c r="B104" s="33">
        <f>raw_podaci!B104</f>
        <v>93.5</v>
      </c>
      <c r="C104" s="33">
        <f>raw_podaci!C104</f>
        <v>95.33</v>
      </c>
      <c r="D104" s="33">
        <f>raw_podaci!D104</f>
        <v>94.97</v>
      </c>
      <c r="E104" s="33">
        <f>raw_podaci!E104</f>
        <v>92.93</v>
      </c>
      <c r="F104" s="33">
        <f>raw_podaci!F104</f>
        <v>86.39</v>
      </c>
      <c r="G104">
        <f>raw_podaci!G104/1000</f>
        <v>141.126</v>
      </c>
      <c r="H104">
        <f>raw_podaci!H104/1000000</f>
        <v>1.264024</v>
      </c>
      <c r="I104" s="33">
        <f>raw_podaci!O104</f>
        <v>6.5400000000000063</v>
      </c>
      <c r="J104" s="19"/>
      <c r="K104" s="19"/>
      <c r="L104" s="19"/>
      <c r="M104" s="19"/>
      <c r="N104" s="19"/>
      <c r="O104" s="19"/>
      <c r="P104" s="19"/>
      <c r="Q104" s="19"/>
      <c r="R104" s="16"/>
      <c r="S104" s="3">
        <f>raw_podaci!A107</f>
        <v>46</v>
      </c>
      <c r="T104" s="12">
        <f>raw_podaci!O107</f>
        <v>11.689999999999998</v>
      </c>
    </row>
    <row r="105" spans="1:20" x14ac:dyDescent="0.35">
      <c r="A105" s="8">
        <f>raw_podaci!A105</f>
        <v>44</v>
      </c>
      <c r="B105" s="33">
        <f>raw_podaci!B105</f>
        <v>93.78</v>
      </c>
      <c r="C105" s="33">
        <f>raw_podaci!C105</f>
        <v>95.42</v>
      </c>
      <c r="D105" s="33">
        <f>raw_podaci!D105</f>
        <v>96.24</v>
      </c>
      <c r="E105" s="33">
        <f>raw_podaci!E105</f>
        <v>95.64</v>
      </c>
      <c r="F105" s="33">
        <f>raw_podaci!F105</f>
        <v>77.84</v>
      </c>
      <c r="G105">
        <f>raw_podaci!G105/1000</f>
        <v>112.383</v>
      </c>
      <c r="H105">
        <f>raw_podaci!H105/1000000</f>
        <v>1.2389140000000001</v>
      </c>
      <c r="I105" s="33">
        <f>raw_podaci!O105</f>
        <v>17.799999999999997</v>
      </c>
      <c r="J105" s="19"/>
      <c r="K105" s="19"/>
      <c r="L105" s="19"/>
      <c r="M105" s="19"/>
      <c r="N105" s="19"/>
      <c r="O105" s="19"/>
      <c r="P105" s="19"/>
      <c r="Q105" s="19"/>
      <c r="R105" s="16"/>
      <c r="S105" s="3">
        <f>raw_podaci!A103</f>
        <v>42</v>
      </c>
      <c r="T105" s="12">
        <f>raw_podaci!O103</f>
        <v>12.02000000000001</v>
      </c>
    </row>
    <row r="106" spans="1:20" x14ac:dyDescent="0.35">
      <c r="A106" s="8">
        <f>raw_podaci!A106</f>
        <v>45</v>
      </c>
      <c r="B106" s="33">
        <f>raw_podaci!B106</f>
        <v>94.11</v>
      </c>
      <c r="C106" s="33">
        <f>raw_podaci!C106</f>
        <v>97.42</v>
      </c>
      <c r="D106" s="33">
        <f>raw_podaci!D106</f>
        <v>96.15</v>
      </c>
      <c r="E106" s="33">
        <f>raw_podaci!E106</f>
        <v>90.41</v>
      </c>
      <c r="F106" s="33">
        <f>raw_podaci!F106</f>
        <v>89.59</v>
      </c>
      <c r="G106">
        <f>raw_podaci!G106/1000</f>
        <v>103.626</v>
      </c>
      <c r="H106">
        <f>raw_podaci!H106/1000000</f>
        <v>1.138474</v>
      </c>
      <c r="I106" s="33">
        <f>raw_podaci!O106</f>
        <v>0.81999999999999318</v>
      </c>
      <c r="J106" s="19"/>
      <c r="K106" s="19"/>
      <c r="L106" s="19"/>
      <c r="M106" s="19"/>
      <c r="N106" s="19"/>
      <c r="O106" s="19"/>
      <c r="P106" s="19"/>
      <c r="Q106" s="19"/>
      <c r="R106" s="16"/>
      <c r="S106" s="3">
        <f>raw_podaci!A65</f>
        <v>4</v>
      </c>
      <c r="T106" s="12">
        <f>raw_podaci!O65</f>
        <v>12.079999999999998</v>
      </c>
    </row>
    <row r="107" spans="1:20" x14ac:dyDescent="0.35">
      <c r="A107" s="8">
        <f>raw_podaci!A107</f>
        <v>46</v>
      </c>
      <c r="B107" s="33">
        <f>raw_podaci!B107</f>
        <v>94.52</v>
      </c>
      <c r="C107" s="33">
        <f>raw_podaci!C107</f>
        <v>97.4</v>
      </c>
      <c r="D107" s="33">
        <f>raw_podaci!D107</f>
        <v>96.17</v>
      </c>
      <c r="E107" s="33">
        <f>raw_podaci!E107</f>
        <v>94.17</v>
      </c>
      <c r="F107" s="33">
        <f>raw_podaci!F107</f>
        <v>82.48</v>
      </c>
      <c r="G107">
        <f>raw_podaci!G107/1000</f>
        <v>103.664</v>
      </c>
      <c r="H107">
        <f>raw_podaci!H107/1000000</f>
        <v>1.102204</v>
      </c>
      <c r="I107" s="33">
        <f>raw_podaci!O107</f>
        <v>11.689999999999998</v>
      </c>
      <c r="J107" s="19"/>
      <c r="K107" s="19"/>
      <c r="L107" s="19"/>
      <c r="M107" s="19"/>
      <c r="N107" s="19"/>
      <c r="O107" s="19"/>
      <c r="P107" s="19"/>
      <c r="Q107" s="19"/>
      <c r="R107" s="16"/>
      <c r="S107" s="3">
        <f>raw_podaci!A77</f>
        <v>16</v>
      </c>
      <c r="T107" s="12">
        <f>raw_podaci!O77</f>
        <v>12.179999999999993</v>
      </c>
    </row>
    <row r="108" spans="1:20" x14ac:dyDescent="0.35">
      <c r="A108" s="8">
        <f>raw_podaci!A108</f>
        <v>47</v>
      </c>
      <c r="B108" s="33">
        <f>raw_podaci!B108</f>
        <v>95.51</v>
      </c>
      <c r="C108" s="33">
        <f>raw_podaci!C108</f>
        <v>97.1</v>
      </c>
      <c r="D108" s="33">
        <f>raw_podaci!D108</f>
        <v>96.58</v>
      </c>
      <c r="E108" s="33">
        <f>raw_podaci!E108</f>
        <v>94.14</v>
      </c>
      <c r="F108" s="33">
        <f>raw_podaci!F108</f>
        <v>91.4</v>
      </c>
      <c r="G108">
        <f>raw_podaci!G108/1000</f>
        <v>117.551</v>
      </c>
      <c r="H108">
        <f>raw_podaci!H108/1000000</f>
        <v>0.887374</v>
      </c>
      <c r="I108" s="33">
        <f>raw_podaci!O108</f>
        <v>2.7399999999999949</v>
      </c>
      <c r="J108" s="19"/>
      <c r="K108" s="19"/>
      <c r="L108" s="19"/>
      <c r="M108" s="19"/>
      <c r="N108" s="19"/>
      <c r="O108" s="19"/>
      <c r="P108" s="19"/>
      <c r="Q108" s="19"/>
      <c r="R108" s="16"/>
      <c r="S108" s="3">
        <f>raw_podaci!A71</f>
        <v>10</v>
      </c>
      <c r="T108" s="12">
        <f>raw_podaci!O71</f>
        <v>12.86</v>
      </c>
    </row>
    <row r="109" spans="1:20" x14ac:dyDescent="0.35">
      <c r="A109" s="8">
        <f>raw_podaci!A109</f>
        <v>48</v>
      </c>
      <c r="B109" s="33">
        <f>raw_podaci!B109</f>
        <v>95.64</v>
      </c>
      <c r="C109" s="33">
        <f>raw_podaci!C109</f>
        <v>96.85</v>
      </c>
      <c r="D109" s="33">
        <f>raw_podaci!D109</f>
        <v>96.72</v>
      </c>
      <c r="E109" s="33">
        <f>raw_podaci!E109</f>
        <v>94.26</v>
      </c>
      <c r="F109" s="33">
        <f>raw_podaci!F109</f>
        <v>92.66</v>
      </c>
      <c r="G109">
        <f>raw_podaci!G109/1000</f>
        <v>112.858</v>
      </c>
      <c r="H109">
        <f>raw_podaci!H109/1000000</f>
        <v>0.93480399999999997</v>
      </c>
      <c r="I109" s="33">
        <f>raw_podaci!O109</f>
        <v>1.6000000000000085</v>
      </c>
      <c r="J109" s="19"/>
      <c r="K109" s="19"/>
      <c r="L109" s="19"/>
      <c r="M109" s="19"/>
      <c r="N109" s="19"/>
      <c r="O109" s="19"/>
      <c r="P109" s="19"/>
      <c r="Q109" s="19"/>
      <c r="R109" s="16"/>
      <c r="S109" s="3">
        <f>raw_podaci!A69</f>
        <v>8</v>
      </c>
      <c r="T109" s="12">
        <f>raw_podaci!O69</f>
        <v>12.97999999999999</v>
      </c>
    </row>
    <row r="110" spans="1:20" x14ac:dyDescent="0.35">
      <c r="A110" s="8">
        <f>raw_podaci!A110</f>
        <v>49</v>
      </c>
      <c r="B110" s="33">
        <f>raw_podaci!B110</f>
        <v>92.3</v>
      </c>
      <c r="C110" s="33">
        <f>raw_podaci!C110</f>
        <v>93.99</v>
      </c>
      <c r="D110" s="33">
        <f>raw_podaci!D110</f>
        <v>93.92</v>
      </c>
      <c r="E110" s="33">
        <f>raw_podaci!E110</f>
        <v>93.33</v>
      </c>
      <c r="F110" s="33">
        <f>raw_podaci!F110</f>
        <v>82.19</v>
      </c>
      <c r="G110">
        <f>raw_podaci!G110/1000</f>
        <v>127.259</v>
      </c>
      <c r="H110">
        <f>raw_podaci!H110/1000000</f>
        <v>1.543024</v>
      </c>
      <c r="I110" s="33">
        <f>raw_podaci!O110</f>
        <v>11.14</v>
      </c>
      <c r="J110" s="19"/>
      <c r="K110" s="19"/>
      <c r="L110" s="19"/>
      <c r="M110" s="19"/>
      <c r="N110" s="19"/>
      <c r="O110" s="19"/>
      <c r="P110" s="19"/>
      <c r="Q110" s="19"/>
      <c r="R110" s="16"/>
      <c r="S110" s="3">
        <f>raw_podaci!A72</f>
        <v>11</v>
      </c>
      <c r="T110" s="12">
        <f>raw_podaci!O72</f>
        <v>16.36</v>
      </c>
    </row>
    <row r="111" spans="1:20" x14ac:dyDescent="0.35">
      <c r="A111" s="8">
        <f>raw_podaci!A111</f>
        <v>50</v>
      </c>
      <c r="B111" s="33">
        <f>raw_podaci!B111</f>
        <v>94.78</v>
      </c>
      <c r="C111" s="33">
        <f>raw_podaci!C111</f>
        <v>95.89</v>
      </c>
      <c r="D111" s="33">
        <f>raw_podaci!D111</f>
        <v>95.93</v>
      </c>
      <c r="E111" s="33">
        <f>raw_podaci!E111</f>
        <v>94.28</v>
      </c>
      <c r="F111" s="33">
        <f>raw_podaci!F111</f>
        <v>89.54</v>
      </c>
      <c r="G111">
        <f>raw_podaci!G111/1000</f>
        <v>109.956</v>
      </c>
      <c r="H111">
        <f>raw_podaci!H111/1000000</f>
        <v>1.068724</v>
      </c>
      <c r="I111" s="33">
        <f>raw_podaci!O111</f>
        <v>4.7399999999999949</v>
      </c>
      <c r="J111" s="19"/>
      <c r="K111" s="19"/>
      <c r="L111" s="19"/>
      <c r="M111" s="19"/>
      <c r="N111" s="19"/>
      <c r="O111" s="19"/>
      <c r="P111" s="19"/>
      <c r="Q111" s="19"/>
      <c r="R111" s="16"/>
      <c r="S111" s="11">
        <f>raw_podaci!A105</f>
        <v>44</v>
      </c>
      <c r="T111" s="12">
        <f>raw_podaci!O105</f>
        <v>17.799999999999997</v>
      </c>
    </row>
    <row r="112" spans="1:20" x14ac:dyDescent="0.35">
      <c r="A112" s="31"/>
      <c r="B112" s="22"/>
      <c r="C112" s="22"/>
      <c r="D112" s="22"/>
      <c r="E112" s="22"/>
      <c r="F112" s="22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13" spans="1:20" x14ac:dyDescent="0.35">
      <c r="A113" s="31"/>
      <c r="B113" s="22"/>
      <c r="C113" s="22"/>
      <c r="D113" s="22"/>
      <c r="E113" s="22"/>
      <c r="F113" s="22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</row>
    <row r="114" spans="1:20" x14ac:dyDescent="0.35">
      <c r="A114" s="32"/>
      <c r="B114" s="23"/>
      <c r="C114" s="23"/>
      <c r="D114" s="23"/>
      <c r="E114" s="23"/>
      <c r="F114" s="23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1:20" x14ac:dyDescent="0.35">
      <c r="A115" s="32"/>
      <c r="B115" s="23"/>
      <c r="C115" s="23"/>
      <c r="D115" s="23"/>
      <c r="E115" s="23"/>
      <c r="F115" s="23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spans="1:20" x14ac:dyDescent="0.35">
      <c r="A116" s="32"/>
      <c r="B116" s="23"/>
      <c r="C116" s="23"/>
      <c r="D116" s="23"/>
      <c r="E116" s="23"/>
      <c r="F116" s="23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1:20" x14ac:dyDescent="0.35">
      <c r="A117" s="32"/>
      <c r="B117" s="23"/>
      <c r="C117" s="23"/>
      <c r="D117" s="23"/>
      <c r="E117" s="23"/>
      <c r="F117" s="23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1:20" x14ac:dyDescent="0.35">
      <c r="A118" s="17" t="s">
        <v>100</v>
      </c>
      <c r="B118" s="17"/>
      <c r="C118" s="22"/>
      <c r="D118" s="22"/>
      <c r="E118" s="22"/>
      <c r="F118" s="22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</row>
    <row r="119" spans="1:20" x14ac:dyDescent="0.35">
      <c r="A119" s="17"/>
      <c r="B119" s="17"/>
      <c r="C119" s="22"/>
      <c r="D119" s="22"/>
      <c r="E119" s="22"/>
      <c r="F119" s="22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</row>
    <row r="120" spans="1:20" ht="15" thickBot="1" x14ac:dyDescent="0.4">
      <c r="A120" s="6" t="s">
        <v>12</v>
      </c>
      <c r="B120" s="6" t="s">
        <v>13</v>
      </c>
      <c r="C120" s="6" t="s">
        <v>14</v>
      </c>
      <c r="D120" s="6" t="s">
        <v>15</v>
      </c>
      <c r="E120" s="6" t="s">
        <v>16</v>
      </c>
      <c r="F120" s="6" t="s">
        <v>17</v>
      </c>
      <c r="G120" s="6" t="s">
        <v>18</v>
      </c>
      <c r="H120" s="6" t="s">
        <v>19</v>
      </c>
      <c r="I120" s="6" t="s">
        <v>20</v>
      </c>
      <c r="J120" s="19"/>
      <c r="K120" s="19"/>
      <c r="L120" s="19"/>
      <c r="M120" s="19"/>
      <c r="N120" s="19"/>
      <c r="O120" s="19"/>
      <c r="P120" s="19"/>
      <c r="Q120" s="19"/>
      <c r="R120" s="16" t="s">
        <v>92</v>
      </c>
      <c r="S120" s="27" t="s">
        <v>12</v>
      </c>
      <c r="T120" s="28" t="s">
        <v>20</v>
      </c>
    </row>
    <row r="121" spans="1:20" ht="15" thickTop="1" x14ac:dyDescent="0.35">
      <c r="A121" s="8">
        <f>raw_podaci!A121</f>
        <v>1</v>
      </c>
      <c r="B121" s="33">
        <f>raw_podaci!B121</f>
        <v>95.39</v>
      </c>
      <c r="C121" s="33">
        <f>raw_podaci!C121</f>
        <v>97.62</v>
      </c>
      <c r="D121" s="33">
        <f>raw_podaci!D121</f>
        <v>95.53</v>
      </c>
      <c r="E121" s="33">
        <f>raw_podaci!E121</f>
        <v>94.39</v>
      </c>
      <c r="F121" s="33">
        <f>raw_podaci!F121</f>
        <v>91.05</v>
      </c>
      <c r="G121">
        <f>raw_podaci!G121/1000</f>
        <v>106.727</v>
      </c>
      <c r="H121">
        <f>raw_podaci!H121/1000000</f>
        <v>0.93480399999999997</v>
      </c>
      <c r="I121" s="33">
        <f>raw_podaci!O121</f>
        <v>3.3400000000000034</v>
      </c>
      <c r="J121" s="19"/>
      <c r="K121" s="19"/>
      <c r="L121" s="19"/>
      <c r="M121" s="19"/>
      <c r="N121" s="19"/>
      <c r="O121" s="19"/>
      <c r="P121" s="19"/>
      <c r="Q121" s="19"/>
      <c r="R121" s="16" t="s">
        <v>101</v>
      </c>
      <c r="S121" s="3">
        <f>raw_podaci!A133</f>
        <v>13</v>
      </c>
      <c r="T121" s="29">
        <f>raw_podaci!O133</f>
        <v>-0.25999999999999091</v>
      </c>
    </row>
    <row r="122" spans="1:20" x14ac:dyDescent="0.35">
      <c r="A122" s="8">
        <f>raw_podaci!A122</f>
        <v>2</v>
      </c>
      <c r="B122" s="33">
        <f>raw_podaci!B122</f>
        <v>95.36</v>
      </c>
      <c r="C122" s="33">
        <f>raw_podaci!C122</f>
        <v>96.52</v>
      </c>
      <c r="D122" s="33">
        <f>raw_podaci!D122</f>
        <v>97.05</v>
      </c>
      <c r="E122" s="33">
        <f>raw_podaci!E122</f>
        <v>94.12</v>
      </c>
      <c r="F122" s="33">
        <f>raw_podaci!F122</f>
        <v>90.3</v>
      </c>
      <c r="G122">
        <f>raw_podaci!G122/1000</f>
        <v>131.923</v>
      </c>
      <c r="H122">
        <f>raw_podaci!H122/1000000</f>
        <v>0.93480399999999997</v>
      </c>
      <c r="I122" s="33">
        <f>raw_podaci!O122</f>
        <v>3.8200000000000074</v>
      </c>
      <c r="J122" s="19"/>
      <c r="K122" s="19"/>
      <c r="L122" s="19"/>
      <c r="M122" s="19"/>
      <c r="N122" s="19"/>
      <c r="O122" s="19"/>
      <c r="P122" s="19"/>
      <c r="Q122" s="19"/>
      <c r="R122" s="16"/>
      <c r="S122" s="3">
        <f>raw_podaci!A125</f>
        <v>5</v>
      </c>
      <c r="T122" s="12">
        <f>raw_podaci!O125</f>
        <v>0.64000000000000057</v>
      </c>
    </row>
    <row r="123" spans="1:20" x14ac:dyDescent="0.35">
      <c r="A123" s="8">
        <f>raw_podaci!A123</f>
        <v>3</v>
      </c>
      <c r="B123" s="33">
        <f>raw_podaci!B123</f>
        <v>93.02</v>
      </c>
      <c r="C123" s="33">
        <f>raw_podaci!C123</f>
        <v>97.62</v>
      </c>
      <c r="D123" s="33">
        <f>raw_podaci!D123</f>
        <v>95.82</v>
      </c>
      <c r="E123" s="33">
        <f>raw_podaci!E123</f>
        <v>90.58</v>
      </c>
      <c r="F123" s="33">
        <f>raw_podaci!F123</f>
        <v>80.62</v>
      </c>
      <c r="G123">
        <f>raw_podaci!G123/1000</f>
        <v>123.81100000000001</v>
      </c>
      <c r="H123">
        <f>raw_podaci!H123/1000000</f>
        <v>1.378414</v>
      </c>
      <c r="I123" s="33">
        <f>raw_podaci!O123</f>
        <v>9.9599999999999937</v>
      </c>
      <c r="J123" s="19"/>
      <c r="K123" s="19"/>
      <c r="L123" s="19"/>
      <c r="M123" s="19"/>
      <c r="N123" s="19"/>
      <c r="O123" s="19"/>
      <c r="P123" s="19"/>
      <c r="Q123" s="19"/>
      <c r="R123" s="16"/>
      <c r="S123" s="3">
        <f>raw_podaci!A161</f>
        <v>41</v>
      </c>
      <c r="T123" s="12">
        <f>raw_podaci!O161</f>
        <v>0.71999999999999886</v>
      </c>
    </row>
    <row r="124" spans="1:20" x14ac:dyDescent="0.35">
      <c r="A124" s="8">
        <f>raw_podaci!A124</f>
        <v>4</v>
      </c>
      <c r="B124" s="33">
        <f>raw_podaci!B124</f>
        <v>93.39</v>
      </c>
      <c r="C124" s="33">
        <f>raw_podaci!C124</f>
        <v>97.07</v>
      </c>
      <c r="D124" s="33">
        <f>raw_podaci!D124</f>
        <v>94.35</v>
      </c>
      <c r="E124" s="33">
        <f>raw_podaci!E124</f>
        <v>91.2</v>
      </c>
      <c r="F124" s="33">
        <f>raw_podaci!F124</f>
        <v>87.07</v>
      </c>
      <c r="G124">
        <f>raw_podaci!G124/1000</f>
        <v>108.212</v>
      </c>
      <c r="H124">
        <f>raw_podaci!H124/1000000</f>
        <v>1.2947139999999999</v>
      </c>
      <c r="I124" s="33">
        <f>raw_podaci!O124</f>
        <v>4.1300000000000097</v>
      </c>
      <c r="J124" s="19"/>
      <c r="K124" s="19"/>
      <c r="L124" s="19"/>
      <c r="M124" s="19"/>
      <c r="N124" s="19"/>
      <c r="O124" s="19"/>
      <c r="P124" s="19"/>
      <c r="Q124" s="19"/>
      <c r="R124" s="16"/>
      <c r="S124" s="3">
        <f>raw_podaci!A154</f>
        <v>34</v>
      </c>
      <c r="T124" s="12">
        <f>raw_podaci!O154</f>
        <v>0.79999999999999716</v>
      </c>
    </row>
    <row r="125" spans="1:20" x14ac:dyDescent="0.35">
      <c r="A125" s="8">
        <f>raw_podaci!A125</f>
        <v>5</v>
      </c>
      <c r="B125" s="33">
        <f>raw_podaci!B125</f>
        <v>95.06</v>
      </c>
      <c r="C125" s="33">
        <f>raw_podaci!C125</f>
        <v>97.07</v>
      </c>
      <c r="D125" s="33">
        <f>raw_podaci!D125</f>
        <v>94.35</v>
      </c>
      <c r="E125" s="33">
        <f>raw_podaci!E125</f>
        <v>94.25</v>
      </c>
      <c r="F125" s="33">
        <f>raw_podaci!F125</f>
        <v>93.61</v>
      </c>
      <c r="G125">
        <f>raw_podaci!G125/1000</f>
        <v>219.43199999999999</v>
      </c>
      <c r="H125">
        <f>raw_podaci!H125/1000000</f>
        <v>1.2947139999999999</v>
      </c>
      <c r="I125" s="33">
        <f>raw_podaci!O125</f>
        <v>0.64000000000000057</v>
      </c>
      <c r="J125" s="19"/>
      <c r="K125" s="19"/>
      <c r="L125" s="19"/>
      <c r="M125" s="19"/>
      <c r="N125" s="19"/>
      <c r="O125" s="19"/>
      <c r="P125" s="19"/>
      <c r="Q125" s="19"/>
      <c r="R125" s="16"/>
      <c r="S125" s="3">
        <f>raw_podaci!A159</f>
        <v>39</v>
      </c>
      <c r="T125" s="12">
        <f>raw_podaci!O159</f>
        <v>0.81999999999999318</v>
      </c>
    </row>
    <row r="126" spans="1:20" x14ac:dyDescent="0.35">
      <c r="A126" s="8">
        <f>raw_podaci!A126</f>
        <v>6</v>
      </c>
      <c r="B126" s="33">
        <f>raw_podaci!B126</f>
        <v>95.42</v>
      </c>
      <c r="C126" s="33">
        <f>raw_podaci!C126</f>
        <v>97.42</v>
      </c>
      <c r="D126" s="33">
        <f>raw_podaci!D126</f>
        <v>96.15</v>
      </c>
      <c r="E126" s="33">
        <f>raw_podaci!E126</f>
        <v>94.04</v>
      </c>
      <c r="F126" s="33">
        <f>raw_podaci!F126</f>
        <v>91.17</v>
      </c>
      <c r="G126">
        <f>raw_podaci!G126/1000</f>
        <v>104.971</v>
      </c>
      <c r="H126">
        <f>raw_podaci!H126/1000000</f>
        <v>0.887374</v>
      </c>
      <c r="I126" s="33">
        <f>raw_podaci!O126</f>
        <v>2.8700000000000045</v>
      </c>
      <c r="J126" s="19"/>
      <c r="K126" s="19"/>
      <c r="L126" s="19"/>
      <c r="M126" s="19"/>
      <c r="N126" s="19"/>
      <c r="O126" s="19"/>
      <c r="P126" s="19"/>
      <c r="Q126" s="19"/>
      <c r="R126" s="16"/>
      <c r="S126" s="3">
        <f>raw_podaci!A169</f>
        <v>49</v>
      </c>
      <c r="T126" s="12">
        <f>raw_podaci!O169</f>
        <v>1.2900000000000063</v>
      </c>
    </row>
    <row r="127" spans="1:20" x14ac:dyDescent="0.35">
      <c r="A127" s="8">
        <f>raw_podaci!A127</f>
        <v>7</v>
      </c>
      <c r="B127" s="33">
        <f>raw_podaci!B127</f>
        <v>95.17</v>
      </c>
      <c r="C127" s="33">
        <f>raw_podaci!C127</f>
        <v>97.29</v>
      </c>
      <c r="D127" s="33">
        <f>raw_podaci!D127</f>
        <v>96.96</v>
      </c>
      <c r="E127" s="33">
        <f>raw_podaci!E127</f>
        <v>94.2</v>
      </c>
      <c r="F127" s="33">
        <f>raw_podaci!F127</f>
        <v>86.09</v>
      </c>
      <c r="G127">
        <f>raw_podaci!G127/1000</f>
        <v>131.887</v>
      </c>
      <c r="H127">
        <f>raw_podaci!H127/1000000</f>
        <v>0.93480399999999997</v>
      </c>
      <c r="I127" s="33">
        <f>raw_podaci!O127</f>
        <v>8.11</v>
      </c>
      <c r="J127" s="19"/>
      <c r="K127" s="19"/>
      <c r="L127" s="19"/>
      <c r="M127" s="19"/>
      <c r="N127" s="19"/>
      <c r="O127" s="19"/>
      <c r="P127" s="19"/>
      <c r="Q127" s="19"/>
      <c r="R127" s="16"/>
      <c r="S127" s="3">
        <f>raw_podaci!A162</f>
        <v>42</v>
      </c>
      <c r="T127" s="12">
        <f>raw_podaci!O162</f>
        <v>1.8799999999999955</v>
      </c>
    </row>
    <row r="128" spans="1:20" x14ac:dyDescent="0.35">
      <c r="A128" s="8">
        <f>raw_podaci!A128</f>
        <v>8</v>
      </c>
      <c r="B128" s="33">
        <f>raw_podaci!B128</f>
        <v>95.16</v>
      </c>
      <c r="C128" s="33">
        <f>raw_podaci!C128</f>
        <v>96.73</v>
      </c>
      <c r="D128" s="33">
        <f>raw_podaci!D128</f>
        <v>97.13</v>
      </c>
      <c r="E128" s="33">
        <f>raw_podaci!E128</f>
        <v>93.03</v>
      </c>
      <c r="F128" s="33">
        <f>raw_podaci!F128</f>
        <v>90.79</v>
      </c>
      <c r="G128">
        <f>raw_podaci!G128/1000</f>
        <v>226.69499999999999</v>
      </c>
      <c r="H128">
        <f>raw_podaci!H128/1000000</f>
        <v>0.98502400000000001</v>
      </c>
      <c r="I128" s="33">
        <f>raw_podaci!O128</f>
        <v>2.2399999999999949</v>
      </c>
      <c r="J128" s="19"/>
      <c r="K128" s="19"/>
      <c r="L128" s="19"/>
      <c r="M128" s="19"/>
      <c r="N128" s="19"/>
      <c r="O128" s="19"/>
      <c r="P128" s="19"/>
      <c r="Q128" s="19"/>
      <c r="R128" s="16"/>
      <c r="S128" s="3">
        <f>raw_podaci!A128</f>
        <v>8</v>
      </c>
      <c r="T128" s="12">
        <f>raw_podaci!O128</f>
        <v>2.2399999999999949</v>
      </c>
    </row>
    <row r="129" spans="1:20" x14ac:dyDescent="0.35">
      <c r="A129" s="8">
        <f>raw_podaci!A129</f>
        <v>9</v>
      </c>
      <c r="B129" s="33">
        <f>raw_podaci!B129</f>
        <v>94.78</v>
      </c>
      <c r="C129" s="33">
        <f>raw_podaci!C129</f>
        <v>97.13</v>
      </c>
      <c r="D129" s="33">
        <f>raw_podaci!D129</f>
        <v>96.09</v>
      </c>
      <c r="E129" s="33">
        <f>raw_podaci!E129</f>
        <v>92.69</v>
      </c>
      <c r="F129" s="33">
        <f>raw_podaci!F129</f>
        <v>90.15</v>
      </c>
      <c r="G129">
        <f>raw_podaci!G129/1000</f>
        <v>104.58</v>
      </c>
      <c r="H129">
        <f>raw_podaci!H129/1000000</f>
        <v>1.0017640000000001</v>
      </c>
      <c r="I129" s="33">
        <f>raw_podaci!O129</f>
        <v>2.539999999999992</v>
      </c>
      <c r="J129" s="19"/>
      <c r="K129" s="19"/>
      <c r="L129" s="19"/>
      <c r="M129" s="19"/>
      <c r="N129" s="19"/>
      <c r="O129" s="19"/>
      <c r="P129" s="19"/>
      <c r="Q129" s="19"/>
      <c r="R129" s="16"/>
      <c r="S129" s="3">
        <f>raw_podaci!A129</f>
        <v>9</v>
      </c>
      <c r="T129" s="12">
        <f>raw_podaci!O129</f>
        <v>2.539999999999992</v>
      </c>
    </row>
    <row r="130" spans="1:20" x14ac:dyDescent="0.35">
      <c r="A130" s="8">
        <f>raw_podaci!A130</f>
        <v>10</v>
      </c>
      <c r="B130" s="33">
        <f>raw_podaci!B130</f>
        <v>93.52</v>
      </c>
      <c r="C130" s="33">
        <f>raw_podaci!C130</f>
        <v>97.42</v>
      </c>
      <c r="D130" s="33">
        <f>raw_podaci!D130</f>
        <v>94.44</v>
      </c>
      <c r="E130" s="33">
        <f>raw_podaci!E130</f>
        <v>91.37</v>
      </c>
      <c r="F130" s="33">
        <f>raw_podaci!F130</f>
        <v>86.58</v>
      </c>
      <c r="G130">
        <f>raw_podaci!G130/1000</f>
        <v>105.401</v>
      </c>
      <c r="H130">
        <f>raw_podaci!H130/1000000</f>
        <v>1.3393539999999999</v>
      </c>
      <c r="I130" s="33">
        <f>raw_podaci!O130</f>
        <v>4.7900000000000063</v>
      </c>
      <c r="J130" s="19"/>
      <c r="K130" s="19"/>
      <c r="L130" s="19"/>
      <c r="M130" s="19"/>
      <c r="N130" s="19"/>
      <c r="O130" s="19"/>
      <c r="P130" s="19"/>
      <c r="Q130" s="19"/>
      <c r="R130" s="16"/>
      <c r="S130" s="3">
        <f>raw_podaci!A160</f>
        <v>40</v>
      </c>
      <c r="T130" s="12">
        <f>raw_podaci!O160</f>
        <v>2.7999999999999972</v>
      </c>
    </row>
    <row r="131" spans="1:20" x14ac:dyDescent="0.35">
      <c r="A131" s="8">
        <f>raw_podaci!A131</f>
        <v>11</v>
      </c>
      <c r="B131" s="33">
        <f>raw_podaci!B131</f>
        <v>94.5</v>
      </c>
      <c r="C131" s="33">
        <f>raw_podaci!C131</f>
        <v>97.42</v>
      </c>
      <c r="D131" s="33">
        <f>raw_podaci!D131</f>
        <v>95.17</v>
      </c>
      <c r="E131" s="33">
        <f>raw_podaci!E131</f>
        <v>93.48</v>
      </c>
      <c r="F131" s="33">
        <f>raw_podaci!F131</f>
        <v>87.12</v>
      </c>
      <c r="G131">
        <f>raw_podaci!G131/1000</f>
        <v>107.369</v>
      </c>
      <c r="H131">
        <f>raw_podaci!H131/1000000</f>
        <v>1.104994</v>
      </c>
      <c r="I131" s="33">
        <f>raw_podaci!O131</f>
        <v>6.3599999999999994</v>
      </c>
      <c r="J131" s="19"/>
      <c r="K131" s="19"/>
      <c r="L131" s="19"/>
      <c r="M131" s="19"/>
      <c r="N131" s="19"/>
      <c r="O131" s="19"/>
      <c r="P131" s="19"/>
      <c r="Q131" s="19"/>
      <c r="R131" s="16"/>
      <c r="S131" s="3">
        <f>raw_podaci!A126</f>
        <v>6</v>
      </c>
      <c r="T131" s="12">
        <f>raw_podaci!O126</f>
        <v>2.8700000000000045</v>
      </c>
    </row>
    <row r="132" spans="1:20" x14ac:dyDescent="0.35">
      <c r="A132" s="8">
        <f>raw_podaci!A132</f>
        <v>12</v>
      </c>
      <c r="B132" s="33">
        <f>raw_podaci!B132</f>
        <v>94.13</v>
      </c>
      <c r="C132" s="33">
        <f>raw_podaci!C132</f>
        <v>96.83</v>
      </c>
      <c r="D132" s="33">
        <f>raw_podaci!D132</f>
        <v>96.74</v>
      </c>
      <c r="E132" s="33">
        <f>raw_podaci!E132</f>
        <v>94.35</v>
      </c>
      <c r="F132" s="33">
        <f>raw_podaci!F132</f>
        <v>78.78</v>
      </c>
      <c r="G132">
        <f>raw_podaci!G132/1000</f>
        <v>116.376</v>
      </c>
      <c r="H132">
        <f>raw_podaci!H132/1000000</f>
        <v>1.289134</v>
      </c>
      <c r="I132" s="33">
        <f>raw_podaci!O132</f>
        <v>15.569999999999993</v>
      </c>
      <c r="J132" s="19"/>
      <c r="K132" s="19"/>
      <c r="L132" s="19"/>
      <c r="M132" s="19"/>
      <c r="N132" s="19"/>
      <c r="O132" s="19"/>
      <c r="P132" s="19"/>
      <c r="Q132" s="19"/>
      <c r="R132" s="16"/>
      <c r="S132" s="3">
        <f>raw_podaci!A151</f>
        <v>31</v>
      </c>
      <c r="T132" s="12">
        <f>raw_podaci!O151</f>
        <v>2.8900000000000006</v>
      </c>
    </row>
    <row r="133" spans="1:20" x14ac:dyDescent="0.35">
      <c r="A133" s="8">
        <f>raw_podaci!A133</f>
        <v>13</v>
      </c>
      <c r="B133" s="33">
        <f>raw_podaci!B133</f>
        <v>94.93</v>
      </c>
      <c r="C133" s="33">
        <f>raw_podaci!C133</f>
        <v>97.62</v>
      </c>
      <c r="D133" s="33">
        <f>raw_podaci!D133</f>
        <v>95.51</v>
      </c>
      <c r="E133" s="33">
        <f>raw_podaci!E133</f>
        <v>92.4</v>
      </c>
      <c r="F133" s="33">
        <f>raw_podaci!F133</f>
        <v>92.66</v>
      </c>
      <c r="G133">
        <f>raw_podaci!G133/1000</f>
        <v>106.46599999999999</v>
      </c>
      <c r="H133">
        <f>raw_podaci!H133/1000000</f>
        <v>1.0017640000000001</v>
      </c>
      <c r="I133" s="33">
        <f>raw_podaci!O133</f>
        <v>-0.25999999999999091</v>
      </c>
      <c r="J133" s="19"/>
      <c r="K133" s="19"/>
      <c r="L133" s="19"/>
      <c r="M133" s="19"/>
      <c r="N133" s="19"/>
      <c r="O133" s="19"/>
      <c r="P133" s="19"/>
      <c r="Q133" s="19"/>
      <c r="R133" s="16"/>
      <c r="S133" s="3">
        <f>raw_podaci!A156</f>
        <v>36</v>
      </c>
      <c r="T133" s="12">
        <f>raw_podaci!O156</f>
        <v>3.1700000000000017</v>
      </c>
    </row>
    <row r="134" spans="1:20" x14ac:dyDescent="0.35">
      <c r="A134" s="8">
        <f>raw_podaci!A134</f>
        <v>14</v>
      </c>
      <c r="B134" s="33">
        <f>raw_podaci!B134</f>
        <v>93.2</v>
      </c>
      <c r="C134" s="33">
        <f>raw_podaci!C134</f>
        <v>97.42</v>
      </c>
      <c r="D134" s="33">
        <f>raw_podaci!D134</f>
        <v>96.13</v>
      </c>
      <c r="E134" s="33">
        <f>raw_podaci!E134</f>
        <v>90.41</v>
      </c>
      <c r="F134" s="33">
        <f>raw_podaci!F134</f>
        <v>82.14</v>
      </c>
      <c r="G134">
        <f>raw_podaci!G134/1000</f>
        <v>103.755</v>
      </c>
      <c r="H134">
        <f>raw_podaci!H134/1000000</f>
        <v>1.3393539999999999</v>
      </c>
      <c r="I134" s="33">
        <f>raw_podaci!O134</f>
        <v>8.269999999999996</v>
      </c>
      <c r="J134" s="19"/>
      <c r="K134" s="19"/>
      <c r="L134" s="19"/>
      <c r="M134" s="19"/>
      <c r="N134" s="19"/>
      <c r="O134" s="19"/>
      <c r="P134" s="19"/>
      <c r="Q134" s="19"/>
      <c r="R134" s="16"/>
      <c r="S134" s="3">
        <f>raw_podaci!A121</f>
        <v>1</v>
      </c>
      <c r="T134" s="12">
        <f>raw_podaci!O121</f>
        <v>3.3400000000000034</v>
      </c>
    </row>
    <row r="135" spans="1:20" x14ac:dyDescent="0.35">
      <c r="A135" s="8">
        <f>raw_podaci!A135</f>
        <v>15</v>
      </c>
      <c r="B135" s="33">
        <f>raw_podaci!B135</f>
        <v>93.2</v>
      </c>
      <c r="C135" s="33">
        <f>raw_podaci!C135</f>
        <v>97.07</v>
      </c>
      <c r="D135" s="33">
        <f>raw_podaci!D135</f>
        <v>95.78</v>
      </c>
      <c r="E135" s="33">
        <f>raw_podaci!E135</f>
        <v>91.1</v>
      </c>
      <c r="F135" s="33">
        <f>raw_podaci!F135</f>
        <v>82.14</v>
      </c>
      <c r="G135">
        <f>raw_podaci!G135/1000</f>
        <v>106.02500000000001</v>
      </c>
      <c r="H135">
        <f>raw_podaci!H135/1000000</f>
        <v>1.3393539999999999</v>
      </c>
      <c r="I135" s="33">
        <f>raw_podaci!O135</f>
        <v>8.9599999999999937</v>
      </c>
      <c r="J135" s="19"/>
      <c r="K135" s="19"/>
      <c r="L135" s="19"/>
      <c r="M135" s="19"/>
      <c r="N135" s="19"/>
      <c r="O135" s="19"/>
      <c r="P135" s="19"/>
      <c r="Q135" s="19"/>
      <c r="R135" s="16"/>
      <c r="S135" s="3">
        <f>raw_podaci!A122</f>
        <v>2</v>
      </c>
      <c r="T135" s="12">
        <f>raw_podaci!O122</f>
        <v>3.8200000000000074</v>
      </c>
    </row>
    <row r="136" spans="1:20" x14ac:dyDescent="0.35">
      <c r="A136" s="8">
        <f>raw_podaci!A136</f>
        <v>16</v>
      </c>
      <c r="B136" s="33">
        <f>raw_podaci!B136</f>
        <v>94.68</v>
      </c>
      <c r="C136" s="33">
        <f>raw_podaci!C136</f>
        <v>95.2</v>
      </c>
      <c r="D136" s="33">
        <f>raw_podaci!D136</f>
        <v>97.18</v>
      </c>
      <c r="E136" s="33">
        <f>raw_podaci!E136</f>
        <v>93.71</v>
      </c>
      <c r="F136" s="33">
        <f>raw_podaci!F136</f>
        <v>88.72</v>
      </c>
      <c r="G136">
        <f>raw_podaci!G136/1000</f>
        <v>134.57499999999999</v>
      </c>
      <c r="H136">
        <f>raw_podaci!H136/1000000</f>
        <v>1.0575639999999999</v>
      </c>
      <c r="I136" s="33">
        <f>raw_podaci!O136</f>
        <v>4.9899999999999949</v>
      </c>
      <c r="J136" s="19"/>
      <c r="K136" s="19"/>
      <c r="L136" s="19"/>
      <c r="M136" s="19"/>
      <c r="N136" s="19"/>
      <c r="O136" s="19"/>
      <c r="P136" s="19"/>
      <c r="Q136" s="19"/>
      <c r="R136" s="16"/>
      <c r="S136" s="3">
        <f>raw_podaci!A167</f>
        <v>47</v>
      </c>
      <c r="T136" s="12">
        <f>raw_podaci!O167</f>
        <v>4.0700000000000074</v>
      </c>
    </row>
    <row r="137" spans="1:20" x14ac:dyDescent="0.35">
      <c r="A137" s="8">
        <f>raw_podaci!A137</f>
        <v>17</v>
      </c>
      <c r="B137" s="33">
        <f>raw_podaci!B137</f>
        <v>94.88</v>
      </c>
      <c r="C137" s="33">
        <f>raw_podaci!C137</f>
        <v>96.04</v>
      </c>
      <c r="D137" s="33">
        <f>raw_podaci!D137</f>
        <v>95.32</v>
      </c>
      <c r="E137" s="33">
        <f>raw_podaci!E137</f>
        <v>95.38</v>
      </c>
      <c r="F137" s="33">
        <f>raw_podaci!F137</f>
        <v>88.58</v>
      </c>
      <c r="G137">
        <f>raw_podaci!G137/1000</f>
        <v>118.65300000000001</v>
      </c>
      <c r="H137">
        <f>raw_podaci!H137/1000000</f>
        <v>1.0017640000000001</v>
      </c>
      <c r="I137" s="33">
        <f>raw_podaci!O137</f>
        <v>6.7999999999999972</v>
      </c>
      <c r="J137" s="19"/>
      <c r="K137" s="19"/>
      <c r="L137" s="19"/>
      <c r="M137" s="19"/>
      <c r="N137" s="19"/>
      <c r="O137" s="19"/>
      <c r="P137" s="19"/>
      <c r="Q137" s="19"/>
      <c r="R137" s="16"/>
      <c r="S137" s="3">
        <f>raw_podaci!A124</f>
        <v>4</v>
      </c>
      <c r="T137" s="12">
        <f>raw_podaci!O124</f>
        <v>4.1300000000000097</v>
      </c>
    </row>
    <row r="138" spans="1:20" x14ac:dyDescent="0.35">
      <c r="A138" s="8">
        <f>raw_podaci!A138</f>
        <v>18</v>
      </c>
      <c r="B138" s="33">
        <f>raw_podaci!B138</f>
        <v>93.2</v>
      </c>
      <c r="C138" s="33">
        <f>raw_podaci!C138</f>
        <v>97.42</v>
      </c>
      <c r="D138" s="33">
        <f>raw_podaci!D138</f>
        <v>96.13</v>
      </c>
      <c r="E138" s="33">
        <f>raw_podaci!E138</f>
        <v>90.41</v>
      </c>
      <c r="F138" s="33">
        <f>raw_podaci!F138</f>
        <v>82.14</v>
      </c>
      <c r="G138">
        <f>raw_podaci!G138/1000</f>
        <v>111.70699999999999</v>
      </c>
      <c r="H138">
        <f>raw_podaci!H138/1000000</f>
        <v>1.3393539999999999</v>
      </c>
      <c r="I138" s="33">
        <f>raw_podaci!O138</f>
        <v>8.269999999999996</v>
      </c>
      <c r="J138" s="19"/>
      <c r="K138" s="19"/>
      <c r="L138" s="19"/>
      <c r="M138" s="19"/>
      <c r="N138" s="19"/>
      <c r="O138" s="19"/>
      <c r="P138" s="19"/>
      <c r="Q138" s="19"/>
      <c r="R138" s="16"/>
      <c r="S138" s="3">
        <f>raw_podaci!A157</f>
        <v>37</v>
      </c>
      <c r="T138" s="12">
        <f>raw_podaci!O157</f>
        <v>4.5800000000000125</v>
      </c>
    </row>
    <row r="139" spans="1:20" x14ac:dyDescent="0.35">
      <c r="A139" s="8">
        <f>raw_podaci!A139</f>
        <v>19</v>
      </c>
      <c r="B139" s="33">
        <f>raw_podaci!B139</f>
        <v>94.04</v>
      </c>
      <c r="C139" s="33">
        <f>raw_podaci!C139</f>
        <v>97.4</v>
      </c>
      <c r="D139" s="33">
        <f>raw_podaci!D139</f>
        <v>96.17</v>
      </c>
      <c r="E139" s="33">
        <f>raw_podaci!E139</f>
        <v>91.94</v>
      </c>
      <c r="F139" s="33">
        <f>raw_podaci!F139</f>
        <v>84.77</v>
      </c>
      <c r="G139">
        <f>raw_podaci!G139/1000</f>
        <v>109.995</v>
      </c>
      <c r="H139">
        <f>raw_podaci!H139/1000000</f>
        <v>1.155214</v>
      </c>
      <c r="I139" s="33">
        <f>raw_podaci!O139</f>
        <v>7.1700000000000017</v>
      </c>
      <c r="J139" s="19"/>
      <c r="K139" s="19"/>
      <c r="L139" s="19"/>
      <c r="M139" s="19"/>
      <c r="N139" s="19"/>
      <c r="O139" s="19"/>
      <c r="P139" s="19"/>
      <c r="Q139" s="19"/>
      <c r="R139" s="16"/>
      <c r="S139" s="3">
        <f>raw_podaci!A130</f>
        <v>10</v>
      </c>
      <c r="T139" s="12">
        <f>raw_podaci!O130</f>
        <v>4.7900000000000063</v>
      </c>
    </row>
    <row r="140" spans="1:20" x14ac:dyDescent="0.35">
      <c r="A140" s="8">
        <f>raw_podaci!A140</f>
        <v>20</v>
      </c>
      <c r="B140" s="33">
        <f>raw_podaci!B140</f>
        <v>94.91</v>
      </c>
      <c r="C140" s="33">
        <f>raw_podaci!C140</f>
        <v>97.07</v>
      </c>
      <c r="D140" s="33">
        <f>raw_podaci!D140</f>
        <v>95.8</v>
      </c>
      <c r="E140" s="33">
        <f>raw_podaci!E140</f>
        <v>94.04</v>
      </c>
      <c r="F140" s="33">
        <f>raw_podaci!F140</f>
        <v>88.39</v>
      </c>
      <c r="G140">
        <f>raw_podaci!G140/1000</f>
        <v>112.658</v>
      </c>
      <c r="H140">
        <f>raw_podaci!H140/1000000</f>
        <v>0.99060400000000004</v>
      </c>
      <c r="I140" s="33">
        <f>raw_podaci!O140</f>
        <v>5.6500000000000057</v>
      </c>
      <c r="J140" s="19"/>
      <c r="K140" s="19"/>
      <c r="L140" s="19"/>
      <c r="M140" s="19"/>
      <c r="N140" s="19"/>
      <c r="O140" s="19"/>
      <c r="P140" s="19"/>
      <c r="Q140" s="19"/>
      <c r="R140" s="16"/>
      <c r="S140" s="3">
        <f>raw_podaci!A136</f>
        <v>16</v>
      </c>
      <c r="T140" s="12">
        <f>raw_podaci!O136</f>
        <v>4.9899999999999949</v>
      </c>
    </row>
    <row r="141" spans="1:20" x14ac:dyDescent="0.35">
      <c r="A141" s="8">
        <f>raw_podaci!A141</f>
        <v>21</v>
      </c>
      <c r="B141" s="33">
        <f>raw_podaci!B141</f>
        <v>93.7</v>
      </c>
      <c r="C141" s="33">
        <f>raw_podaci!C141</f>
        <v>97.62</v>
      </c>
      <c r="D141" s="33">
        <f>raw_podaci!D141</f>
        <v>95.2</v>
      </c>
      <c r="E141" s="33">
        <f>raw_podaci!E141</f>
        <v>93.57</v>
      </c>
      <c r="F141" s="33">
        <f>raw_podaci!F141</f>
        <v>79.66</v>
      </c>
      <c r="G141">
        <f>raw_podaci!G141/1000</f>
        <v>107.67400000000001</v>
      </c>
      <c r="H141">
        <f>raw_podaci!H141/1000000</f>
        <v>1.255654</v>
      </c>
      <c r="I141" s="33">
        <f>raw_podaci!O141</f>
        <v>13.909999999999997</v>
      </c>
      <c r="J141" s="19"/>
      <c r="K141" s="19"/>
      <c r="L141" s="19"/>
      <c r="M141" s="19"/>
      <c r="N141" s="19"/>
      <c r="O141" s="19"/>
      <c r="P141" s="19"/>
      <c r="Q141" s="19"/>
      <c r="R141" s="16"/>
      <c r="S141" s="3">
        <f>raw_podaci!A150</f>
        <v>30</v>
      </c>
      <c r="T141" s="12">
        <f>raw_podaci!O150</f>
        <v>5.25</v>
      </c>
    </row>
    <row r="142" spans="1:20" x14ac:dyDescent="0.35">
      <c r="A142" s="8">
        <f>raw_podaci!A142</f>
        <v>22</v>
      </c>
      <c r="B142" s="33">
        <f>raw_podaci!B142</f>
        <v>93.19</v>
      </c>
      <c r="C142" s="33">
        <f>raw_podaci!C142</f>
        <v>97.13</v>
      </c>
      <c r="D142" s="33">
        <f>raw_podaci!D142</f>
        <v>94.17</v>
      </c>
      <c r="E142" s="33">
        <f>raw_podaci!E142</f>
        <v>93.74</v>
      </c>
      <c r="F142" s="33">
        <f>raw_podaci!F142</f>
        <v>79.319999999999993</v>
      </c>
      <c r="G142">
        <f>raw_podaci!G142/1000</f>
        <v>209.858</v>
      </c>
      <c r="H142">
        <f>raw_podaci!H142/1000000</f>
        <v>1.3895740000000001</v>
      </c>
      <c r="I142" s="33">
        <f>raw_podaci!O142</f>
        <v>14.420000000000002</v>
      </c>
      <c r="J142" s="19"/>
      <c r="K142" s="19"/>
      <c r="L142" s="19"/>
      <c r="M142" s="19"/>
      <c r="N142" s="19"/>
      <c r="O142" s="19"/>
      <c r="P142" s="19"/>
      <c r="Q142" s="19"/>
      <c r="R142" s="16"/>
      <c r="S142" s="3">
        <f>raw_podaci!A145</f>
        <v>25</v>
      </c>
      <c r="T142" s="12">
        <f>raw_podaci!O145</f>
        <v>5.2900000000000063</v>
      </c>
    </row>
    <row r="143" spans="1:20" x14ac:dyDescent="0.35">
      <c r="A143" s="8">
        <f>raw_podaci!A143</f>
        <v>23</v>
      </c>
      <c r="B143" s="33">
        <f>raw_podaci!B143</f>
        <v>94.32</v>
      </c>
      <c r="C143" s="33">
        <f>raw_podaci!C143</f>
        <v>97.05</v>
      </c>
      <c r="D143" s="33">
        <f>raw_podaci!D143</f>
        <v>95.52</v>
      </c>
      <c r="E143" s="33">
        <f>raw_podaci!E143</f>
        <v>93.05</v>
      </c>
      <c r="F143" s="33">
        <f>raw_podaci!F143</f>
        <v>86.77</v>
      </c>
      <c r="G143">
        <f>raw_podaci!G143/1000</f>
        <v>212.37700000000001</v>
      </c>
      <c r="H143">
        <f>raw_podaci!H143/1000000</f>
        <v>1.096624</v>
      </c>
      <c r="I143" s="33">
        <f>raw_podaci!O143</f>
        <v>6.2800000000000011</v>
      </c>
      <c r="J143" s="19"/>
      <c r="K143" s="19"/>
      <c r="L143" s="19"/>
      <c r="M143" s="19"/>
      <c r="N143" s="19"/>
      <c r="O143" s="19"/>
      <c r="P143" s="19"/>
      <c r="Q143" s="19"/>
      <c r="R143" s="16"/>
      <c r="S143" s="3">
        <f>raw_podaci!A140</f>
        <v>20</v>
      </c>
      <c r="T143" s="12">
        <f>raw_podaci!O140</f>
        <v>5.6500000000000057</v>
      </c>
    </row>
    <row r="144" spans="1:20" x14ac:dyDescent="0.35">
      <c r="A144" s="8">
        <f>raw_podaci!A144</f>
        <v>24</v>
      </c>
      <c r="B144" s="33">
        <f>raw_podaci!B144</f>
        <v>93.46</v>
      </c>
      <c r="C144" s="33">
        <f>raw_podaci!C144</f>
        <v>95.42</v>
      </c>
      <c r="D144" s="33">
        <f>raw_podaci!D144</f>
        <v>92.66</v>
      </c>
      <c r="E144" s="33">
        <f>raw_podaci!E144</f>
        <v>95.25</v>
      </c>
      <c r="F144" s="33">
        <f>raw_podaci!F144</f>
        <v>85.78</v>
      </c>
      <c r="G144">
        <f>raw_podaci!G144/1000</f>
        <v>128.12299999999999</v>
      </c>
      <c r="H144">
        <f>raw_podaci!H144/1000000</f>
        <v>1.305874</v>
      </c>
      <c r="I144" s="33">
        <f>raw_podaci!O144</f>
        <v>9.4699999999999989</v>
      </c>
      <c r="J144" s="19"/>
      <c r="K144" s="19"/>
      <c r="L144" s="19"/>
      <c r="M144" s="19"/>
      <c r="N144" s="19"/>
      <c r="O144" s="19"/>
      <c r="P144" s="19"/>
      <c r="Q144" s="19"/>
      <c r="R144" s="16"/>
      <c r="S144" s="3">
        <f>raw_podaci!A166</f>
        <v>46</v>
      </c>
      <c r="T144" s="12">
        <f>raw_podaci!O166</f>
        <v>5.7000000000000028</v>
      </c>
    </row>
    <row r="145" spans="1:20" x14ac:dyDescent="0.35">
      <c r="A145" s="8">
        <f>raw_podaci!A145</f>
        <v>25</v>
      </c>
      <c r="B145" s="33">
        <f>raw_podaci!B145</f>
        <v>92.15</v>
      </c>
      <c r="C145" s="33">
        <f>raw_podaci!C145</f>
        <v>97.07</v>
      </c>
      <c r="D145" s="33">
        <f>raw_podaci!D145</f>
        <v>94.63</v>
      </c>
      <c r="E145" s="33">
        <f>raw_podaci!E145</f>
        <v>88.59</v>
      </c>
      <c r="F145" s="33">
        <f>raw_podaci!F145</f>
        <v>83.3</v>
      </c>
      <c r="G145">
        <f>raw_podaci!G145/1000</f>
        <v>106.51300000000001</v>
      </c>
      <c r="H145">
        <f>raw_podaci!H145/1000000</f>
        <v>1.554184</v>
      </c>
      <c r="I145" s="33">
        <f>raw_podaci!O145</f>
        <v>5.2900000000000063</v>
      </c>
      <c r="J145" s="19"/>
      <c r="K145" s="19"/>
      <c r="L145" s="19"/>
      <c r="M145" s="19"/>
      <c r="N145" s="19"/>
      <c r="O145" s="19"/>
      <c r="P145" s="19"/>
      <c r="Q145" s="19"/>
      <c r="R145" s="16"/>
      <c r="S145" s="3">
        <f>raw_podaci!A153</f>
        <v>33</v>
      </c>
      <c r="T145" s="12">
        <f>raw_podaci!O153</f>
        <v>5.8699999999999903</v>
      </c>
    </row>
    <row r="146" spans="1:20" x14ac:dyDescent="0.35">
      <c r="A146" s="8">
        <f>raw_podaci!A146</f>
        <v>26</v>
      </c>
      <c r="B146" s="33">
        <f>raw_podaci!B146</f>
        <v>94.5</v>
      </c>
      <c r="C146" s="33">
        <f>raw_podaci!C146</f>
        <v>97.4</v>
      </c>
      <c r="D146" s="33">
        <f>raw_podaci!D146</f>
        <v>96.17</v>
      </c>
      <c r="E146" s="33">
        <f>raw_podaci!E146</f>
        <v>94.17</v>
      </c>
      <c r="F146" s="33">
        <f>raw_podaci!F146</f>
        <v>82.33</v>
      </c>
      <c r="G146">
        <f>raw_podaci!G146/1000</f>
        <v>103.47199999999999</v>
      </c>
      <c r="H146">
        <f>raw_podaci!H146/1000000</f>
        <v>1.102204</v>
      </c>
      <c r="I146" s="33">
        <f>raw_podaci!O146</f>
        <v>11.840000000000003</v>
      </c>
      <c r="J146" s="19"/>
      <c r="K146" s="19"/>
      <c r="L146" s="19"/>
      <c r="M146" s="19"/>
      <c r="N146" s="19"/>
      <c r="O146" s="19"/>
      <c r="P146" s="19"/>
      <c r="Q146" s="19"/>
      <c r="R146" s="16"/>
      <c r="S146" s="3">
        <f>raw_podaci!A143</f>
        <v>23</v>
      </c>
      <c r="T146" s="12">
        <f>raw_podaci!O143</f>
        <v>6.2800000000000011</v>
      </c>
    </row>
    <row r="147" spans="1:20" x14ac:dyDescent="0.35">
      <c r="A147" s="8">
        <f>raw_podaci!A147</f>
        <v>27</v>
      </c>
      <c r="B147" s="33">
        <f>raw_podaci!B147</f>
        <v>94.06</v>
      </c>
      <c r="C147" s="33">
        <f>raw_podaci!C147</f>
        <v>95.2</v>
      </c>
      <c r="D147" s="33">
        <f>raw_podaci!D147</f>
        <v>97.13</v>
      </c>
      <c r="E147" s="33">
        <f>raw_podaci!E147</f>
        <v>93.43</v>
      </c>
      <c r="F147" s="33">
        <f>raw_podaci!F147</f>
        <v>84.24</v>
      </c>
      <c r="G147">
        <f>raw_podaci!G147/1000</f>
        <v>122.13200000000001</v>
      </c>
      <c r="H147">
        <f>raw_podaci!H147/1000000</f>
        <v>1.155214</v>
      </c>
      <c r="I147" s="33">
        <f>raw_podaci!O147</f>
        <v>9.1900000000000119</v>
      </c>
      <c r="J147" s="19"/>
      <c r="K147" s="19"/>
      <c r="L147" s="19"/>
      <c r="M147" s="19"/>
      <c r="N147" s="19"/>
      <c r="O147" s="19"/>
      <c r="P147" s="19"/>
      <c r="Q147" s="19"/>
      <c r="R147" s="16"/>
      <c r="S147" s="3">
        <f>raw_podaci!A131</f>
        <v>11</v>
      </c>
      <c r="T147" s="12">
        <f>raw_podaci!O131</f>
        <v>6.3599999999999994</v>
      </c>
    </row>
    <row r="148" spans="1:20" x14ac:dyDescent="0.35">
      <c r="A148" s="8">
        <f>raw_podaci!A148</f>
        <v>28</v>
      </c>
      <c r="B148" s="33">
        <f>raw_podaci!B148</f>
        <v>93.56</v>
      </c>
      <c r="C148" s="33">
        <f>raw_podaci!C148</f>
        <v>97.07</v>
      </c>
      <c r="D148" s="33">
        <f>raw_podaci!D148</f>
        <v>95.82</v>
      </c>
      <c r="E148" s="33">
        <f>raw_podaci!E148</f>
        <v>92.94</v>
      </c>
      <c r="F148" s="33">
        <f>raw_podaci!F148</f>
        <v>80.09</v>
      </c>
      <c r="G148">
        <f>raw_podaci!G148/1000</f>
        <v>104.684</v>
      </c>
      <c r="H148">
        <f>raw_podaci!H148/1000000</f>
        <v>1.255654</v>
      </c>
      <c r="I148" s="33">
        <f>raw_podaci!O148</f>
        <v>12.849999999999994</v>
      </c>
      <c r="J148" s="19"/>
      <c r="K148" s="19"/>
      <c r="L148" s="19"/>
      <c r="M148" s="19"/>
      <c r="N148" s="19"/>
      <c r="O148" s="19"/>
      <c r="P148" s="19"/>
      <c r="Q148" s="19"/>
      <c r="R148" s="16"/>
      <c r="S148" s="3">
        <f>raw_podaci!A158</f>
        <v>38</v>
      </c>
      <c r="T148" s="12">
        <f>raw_podaci!O158</f>
        <v>6.4699999999999989</v>
      </c>
    </row>
    <row r="149" spans="1:20" x14ac:dyDescent="0.35">
      <c r="A149" s="8">
        <f>raw_podaci!A149</f>
        <v>29</v>
      </c>
      <c r="B149" s="33">
        <f>raw_podaci!B149</f>
        <v>93.66</v>
      </c>
      <c r="C149" s="33">
        <f>raw_podaci!C149</f>
        <v>95.65</v>
      </c>
      <c r="D149" s="33">
        <f>raw_podaci!D149</f>
        <v>95.82</v>
      </c>
      <c r="E149" s="33">
        <f>raw_podaci!E149</f>
        <v>92.66</v>
      </c>
      <c r="F149" s="33">
        <f>raw_podaci!F149</f>
        <v>85.32</v>
      </c>
      <c r="G149">
        <f>raw_podaci!G149/1000</f>
        <v>135.77699999999999</v>
      </c>
      <c r="H149">
        <f>raw_podaci!H149/1000000</f>
        <v>1.2389140000000001</v>
      </c>
      <c r="I149" s="33">
        <f>raw_podaci!O149</f>
        <v>7.3400000000000034</v>
      </c>
      <c r="J149" s="19"/>
      <c r="K149" s="19"/>
      <c r="L149" s="19"/>
      <c r="M149" s="19"/>
      <c r="N149" s="19"/>
      <c r="O149" s="19"/>
      <c r="P149" s="19"/>
      <c r="Q149" s="19"/>
      <c r="R149" s="16"/>
      <c r="S149" s="3">
        <f>raw_podaci!A137</f>
        <v>17</v>
      </c>
      <c r="T149" s="12">
        <f>raw_podaci!O137</f>
        <v>6.7999999999999972</v>
      </c>
    </row>
    <row r="150" spans="1:20" x14ac:dyDescent="0.35">
      <c r="A150" s="8">
        <f>raw_podaci!A150</f>
        <v>30</v>
      </c>
      <c r="B150" s="33">
        <f>raw_podaci!B150</f>
        <v>95</v>
      </c>
      <c r="C150" s="33">
        <f>raw_podaci!C150</f>
        <v>96.58</v>
      </c>
      <c r="D150" s="33">
        <f>raw_podaci!D150</f>
        <v>97.14</v>
      </c>
      <c r="E150" s="33">
        <f>raw_podaci!E150</f>
        <v>93.5</v>
      </c>
      <c r="F150" s="33">
        <f>raw_podaci!F150</f>
        <v>88.25</v>
      </c>
      <c r="G150">
        <f>raw_podaci!G150/1000</f>
        <v>123.04900000000001</v>
      </c>
      <c r="H150">
        <f>raw_podaci!H150/1000000</f>
        <v>0.99060400000000004</v>
      </c>
      <c r="I150" s="33">
        <f>raw_podaci!O150</f>
        <v>5.25</v>
      </c>
      <c r="J150" s="19"/>
      <c r="K150" s="19"/>
      <c r="L150" s="19"/>
      <c r="M150" s="19"/>
      <c r="N150" s="19"/>
      <c r="O150" s="19"/>
      <c r="P150" s="19"/>
      <c r="Q150" s="19"/>
      <c r="R150" s="16"/>
      <c r="S150" s="3">
        <f>raw_podaci!A163</f>
        <v>43</v>
      </c>
      <c r="T150" s="12">
        <f>raw_podaci!O163</f>
        <v>6.8400000000000034</v>
      </c>
    </row>
    <row r="151" spans="1:20" x14ac:dyDescent="0.35">
      <c r="A151" s="8">
        <f>raw_podaci!A151</f>
        <v>31</v>
      </c>
      <c r="B151" s="33">
        <f>raw_podaci!B151</f>
        <v>95.42</v>
      </c>
      <c r="C151" s="33">
        <f>raw_podaci!C151</f>
        <v>96.83</v>
      </c>
      <c r="D151" s="33">
        <f>raw_podaci!D151</f>
        <v>96.71</v>
      </c>
      <c r="E151" s="33">
        <f>raw_podaci!E151</f>
        <v>94.06</v>
      </c>
      <c r="F151" s="33">
        <f>raw_podaci!F151</f>
        <v>91.17</v>
      </c>
      <c r="G151">
        <f>raw_podaci!G151/1000</f>
        <v>114.15300000000001</v>
      </c>
      <c r="H151">
        <f>raw_podaci!H151/1000000</f>
        <v>0.887374</v>
      </c>
      <c r="I151" s="33">
        <f>raw_podaci!O151</f>
        <v>2.8900000000000006</v>
      </c>
      <c r="J151" s="19"/>
      <c r="K151" s="19"/>
      <c r="L151" s="19"/>
      <c r="M151" s="19"/>
      <c r="N151" s="19"/>
      <c r="O151" s="19"/>
      <c r="P151" s="19"/>
      <c r="Q151" s="19"/>
      <c r="R151" s="16"/>
      <c r="S151" s="3">
        <f>raw_podaci!A139</f>
        <v>19</v>
      </c>
      <c r="T151" s="12">
        <f>raw_podaci!O139</f>
        <v>7.1700000000000017</v>
      </c>
    </row>
    <row r="152" spans="1:20" x14ac:dyDescent="0.35">
      <c r="A152" s="8">
        <f>raw_podaci!A152</f>
        <v>32</v>
      </c>
      <c r="B152" s="33">
        <f>raw_podaci!B152</f>
        <v>93.66</v>
      </c>
      <c r="C152" s="33">
        <f>raw_podaci!C152</f>
        <v>97.4</v>
      </c>
      <c r="D152" s="33">
        <f>raw_podaci!D152</f>
        <v>95.45</v>
      </c>
      <c r="E152" s="33">
        <f>raw_podaci!E152</f>
        <v>91.67</v>
      </c>
      <c r="F152" s="33">
        <f>raw_podaci!F152</f>
        <v>84.26</v>
      </c>
      <c r="G152">
        <f>raw_podaci!G152/1000</f>
        <v>103.99</v>
      </c>
      <c r="H152">
        <f>raw_podaci!H152/1000000</f>
        <v>1.236124</v>
      </c>
      <c r="I152" s="33">
        <f>raw_podaci!O152</f>
        <v>7.4099999999999966</v>
      </c>
      <c r="J152" s="19"/>
      <c r="K152" s="19"/>
      <c r="L152" s="19"/>
      <c r="M152" s="19"/>
      <c r="N152" s="19"/>
      <c r="O152" s="19"/>
      <c r="P152" s="19"/>
      <c r="Q152" s="19"/>
      <c r="R152" s="16"/>
      <c r="S152" s="3">
        <f>raw_podaci!A149</f>
        <v>29</v>
      </c>
      <c r="T152" s="12">
        <f>raw_podaci!O149</f>
        <v>7.3400000000000034</v>
      </c>
    </row>
    <row r="153" spans="1:20" x14ac:dyDescent="0.35">
      <c r="A153" s="8">
        <f>raw_podaci!A153</f>
        <v>33</v>
      </c>
      <c r="B153" s="33">
        <f>raw_podaci!B153</f>
        <v>94.61</v>
      </c>
      <c r="C153" s="33">
        <f>raw_podaci!C153</f>
        <v>96.82</v>
      </c>
      <c r="D153" s="33">
        <f>raw_podaci!D153</f>
        <v>96.01</v>
      </c>
      <c r="E153" s="33">
        <f>raw_podaci!E153</f>
        <v>93.41</v>
      </c>
      <c r="F153" s="33">
        <f>raw_podaci!F153</f>
        <v>87.54</v>
      </c>
      <c r="G153">
        <f>raw_podaci!G153/1000</f>
        <v>117.069</v>
      </c>
      <c r="H153">
        <f>raw_podaci!H153/1000000</f>
        <v>1.060354</v>
      </c>
      <c r="I153" s="33">
        <f>raw_podaci!O153</f>
        <v>5.8699999999999903</v>
      </c>
      <c r="J153" s="19"/>
      <c r="K153" s="19"/>
      <c r="L153" s="19"/>
      <c r="M153" s="19"/>
      <c r="N153" s="19"/>
      <c r="O153" s="19"/>
      <c r="P153" s="19"/>
      <c r="Q153" s="19"/>
      <c r="R153" s="16"/>
      <c r="S153" s="3">
        <f>raw_podaci!A152</f>
        <v>32</v>
      </c>
      <c r="T153" s="12">
        <f>raw_podaci!O152</f>
        <v>7.4099999999999966</v>
      </c>
    </row>
    <row r="154" spans="1:20" x14ac:dyDescent="0.35">
      <c r="A154" s="8">
        <f>raw_podaci!A154</f>
        <v>34</v>
      </c>
      <c r="B154" s="33">
        <f>raw_podaci!B154</f>
        <v>93.1</v>
      </c>
      <c r="C154" s="33">
        <f>raw_podaci!C154</f>
        <v>97.62</v>
      </c>
      <c r="D154" s="33">
        <f>raw_podaci!D154</f>
        <v>94.95</v>
      </c>
      <c r="E154" s="33">
        <f>raw_podaci!E154</f>
        <v>88.78</v>
      </c>
      <c r="F154" s="33">
        <f>raw_podaci!F154</f>
        <v>87.98</v>
      </c>
      <c r="G154">
        <f>raw_podaci!G154/1000</f>
        <v>106.94199999999999</v>
      </c>
      <c r="H154">
        <f>raw_podaci!H154/1000000</f>
        <v>1.3895740000000001</v>
      </c>
      <c r="I154" s="33">
        <f>raw_podaci!O154</f>
        <v>0.79999999999999716</v>
      </c>
      <c r="J154" s="19"/>
      <c r="K154" s="19"/>
      <c r="L154" s="19"/>
      <c r="M154" s="19"/>
      <c r="N154" s="19"/>
      <c r="O154" s="19"/>
      <c r="P154" s="19"/>
      <c r="Q154" s="19"/>
      <c r="R154" s="16"/>
      <c r="S154" s="3">
        <f>raw_podaci!A168</f>
        <v>48</v>
      </c>
      <c r="T154" s="12">
        <f>raw_podaci!O168</f>
        <v>7.5799999999999983</v>
      </c>
    </row>
    <row r="155" spans="1:20" x14ac:dyDescent="0.35">
      <c r="A155" s="8">
        <f>raw_podaci!A155</f>
        <v>35</v>
      </c>
      <c r="B155" s="33">
        <f>raw_podaci!B155</f>
        <v>94.05</v>
      </c>
      <c r="C155" s="33">
        <f>raw_podaci!C155</f>
        <v>97.42</v>
      </c>
      <c r="D155" s="33">
        <f>raw_podaci!D155</f>
        <v>95.82</v>
      </c>
      <c r="E155" s="33">
        <f>raw_podaci!E155</f>
        <v>93.18</v>
      </c>
      <c r="F155" s="33">
        <f>raw_podaci!F155</f>
        <v>82.33</v>
      </c>
      <c r="G155">
        <f>raw_podaci!G155/1000</f>
        <v>212.4</v>
      </c>
      <c r="H155">
        <f>raw_podaci!H155/1000000</f>
        <v>1.155214</v>
      </c>
      <c r="I155" s="33">
        <f>raw_podaci!O155</f>
        <v>10.850000000000009</v>
      </c>
      <c r="J155" s="19"/>
      <c r="K155" s="19"/>
      <c r="L155" s="19"/>
      <c r="M155" s="19"/>
      <c r="N155" s="19"/>
      <c r="O155" s="19"/>
      <c r="P155" s="19"/>
      <c r="Q155" s="19"/>
      <c r="R155" s="16"/>
      <c r="S155" s="3">
        <f>raw_podaci!A170</f>
        <v>50</v>
      </c>
      <c r="T155" s="12">
        <f>raw_podaci!O170</f>
        <v>7.75</v>
      </c>
    </row>
    <row r="156" spans="1:20" x14ac:dyDescent="0.35">
      <c r="A156" s="8">
        <f>raw_podaci!A156</f>
        <v>36</v>
      </c>
      <c r="B156" s="33">
        <f>raw_podaci!B156</f>
        <v>95.22</v>
      </c>
      <c r="C156" s="33">
        <f>raw_podaci!C156</f>
        <v>94.68</v>
      </c>
      <c r="D156" s="33">
        <f>raw_podaci!D156</f>
        <v>95.68</v>
      </c>
      <c r="E156" s="33">
        <f>raw_podaci!E156</f>
        <v>96.05</v>
      </c>
      <c r="F156" s="33">
        <f>raw_podaci!F156</f>
        <v>92.88</v>
      </c>
      <c r="G156">
        <f>raw_podaci!G156/1000</f>
        <v>123.486</v>
      </c>
      <c r="H156">
        <f>raw_podaci!H156/1000000</f>
        <v>0.93480399999999997</v>
      </c>
      <c r="I156" s="33">
        <f>raw_podaci!O156</f>
        <v>3.1700000000000017</v>
      </c>
      <c r="J156" s="19"/>
      <c r="K156" s="19"/>
      <c r="L156" s="19"/>
      <c r="M156" s="19"/>
      <c r="N156" s="19"/>
      <c r="O156" s="19"/>
      <c r="P156" s="19"/>
      <c r="Q156" s="19"/>
      <c r="R156" s="16"/>
      <c r="S156" s="3">
        <f>raw_podaci!A127</f>
        <v>7</v>
      </c>
      <c r="T156" s="12">
        <f>raw_podaci!O127</f>
        <v>8.11</v>
      </c>
    </row>
    <row r="157" spans="1:20" x14ac:dyDescent="0.35">
      <c r="A157" s="8">
        <f>raw_podaci!A157</f>
        <v>37</v>
      </c>
      <c r="B157" s="33">
        <f>raw_podaci!B157</f>
        <v>93.43</v>
      </c>
      <c r="C157" s="33">
        <f>raw_podaci!C157</f>
        <v>97.13</v>
      </c>
      <c r="D157" s="33">
        <f>raw_podaci!D157</f>
        <v>94.46</v>
      </c>
      <c r="E157" s="33">
        <f>raw_podaci!E157</f>
        <v>91.29</v>
      </c>
      <c r="F157" s="33">
        <f>raw_podaci!F157</f>
        <v>86.71</v>
      </c>
      <c r="G157">
        <f>raw_podaci!G157/1000</f>
        <v>104.533</v>
      </c>
      <c r="H157">
        <f>raw_podaci!H157/1000000</f>
        <v>1.289134</v>
      </c>
      <c r="I157" s="33">
        <f>raw_podaci!O157</f>
        <v>4.5800000000000125</v>
      </c>
      <c r="J157" s="19"/>
      <c r="K157" s="19"/>
      <c r="L157" s="19"/>
      <c r="M157" s="19"/>
      <c r="N157" s="19"/>
      <c r="O157" s="19"/>
      <c r="P157" s="19"/>
      <c r="Q157" s="19"/>
      <c r="R157" s="16"/>
      <c r="S157" s="3">
        <f>raw_podaci!A165</f>
        <v>45</v>
      </c>
      <c r="T157" s="12">
        <f>raw_podaci!O165</f>
        <v>8.1299999999999955</v>
      </c>
    </row>
    <row r="158" spans="1:20" x14ac:dyDescent="0.35">
      <c r="A158" s="8">
        <f>raw_podaci!A158</f>
        <v>38</v>
      </c>
      <c r="B158" s="33">
        <f>raw_podaci!B158</f>
        <v>93.83</v>
      </c>
      <c r="C158" s="33">
        <f>raw_podaci!C158</f>
        <v>96.83</v>
      </c>
      <c r="D158" s="33">
        <f>raw_podaci!D158</f>
        <v>94.85</v>
      </c>
      <c r="E158" s="33">
        <f>raw_podaci!E158</f>
        <v>92.66</v>
      </c>
      <c r="F158" s="33">
        <f>raw_podaci!F158</f>
        <v>86.19</v>
      </c>
      <c r="G158">
        <f>raw_podaci!G158/1000</f>
        <v>106.30800000000001</v>
      </c>
      <c r="H158">
        <f>raw_podaci!H158/1000000</f>
        <v>1.2054339999999999</v>
      </c>
      <c r="I158" s="33">
        <f>raw_podaci!O158</f>
        <v>6.4699999999999989</v>
      </c>
      <c r="J158" s="19"/>
      <c r="K158" s="19"/>
      <c r="L158" s="19"/>
      <c r="M158" s="19"/>
      <c r="N158" s="19"/>
      <c r="O158" s="19"/>
      <c r="P158" s="19"/>
      <c r="Q158" s="19"/>
      <c r="R158" s="16"/>
      <c r="S158" s="3">
        <f>raw_podaci!A134</f>
        <v>14</v>
      </c>
      <c r="T158" s="12">
        <f>raw_podaci!O134</f>
        <v>8.269999999999996</v>
      </c>
    </row>
    <row r="159" spans="1:20" x14ac:dyDescent="0.35">
      <c r="A159" s="8">
        <f>raw_podaci!A159</f>
        <v>39</v>
      </c>
      <c r="B159" s="33">
        <f>raw_podaci!B159</f>
        <v>94.11</v>
      </c>
      <c r="C159" s="33">
        <f>raw_podaci!C159</f>
        <v>97.42</v>
      </c>
      <c r="D159" s="33">
        <f>raw_podaci!D159</f>
        <v>96.15</v>
      </c>
      <c r="E159" s="33">
        <f>raw_podaci!E159</f>
        <v>90.41</v>
      </c>
      <c r="F159" s="33">
        <f>raw_podaci!F159</f>
        <v>89.59</v>
      </c>
      <c r="G159">
        <f>raw_podaci!G159/1000</f>
        <v>105.209</v>
      </c>
      <c r="H159">
        <f>raw_podaci!H159/1000000</f>
        <v>1.138474</v>
      </c>
      <c r="I159" s="33">
        <f>raw_podaci!O159</f>
        <v>0.81999999999999318</v>
      </c>
      <c r="J159" s="19"/>
      <c r="K159" s="19"/>
      <c r="L159" s="19"/>
      <c r="M159" s="19"/>
      <c r="N159" s="19"/>
      <c r="O159" s="19"/>
      <c r="P159" s="19"/>
      <c r="Q159" s="19"/>
      <c r="R159" s="16"/>
      <c r="S159" s="3">
        <f>raw_podaci!A138</f>
        <v>18</v>
      </c>
      <c r="T159" s="12">
        <f>raw_podaci!O138</f>
        <v>8.269999999999996</v>
      </c>
    </row>
    <row r="160" spans="1:20" x14ac:dyDescent="0.35">
      <c r="A160" s="8">
        <f>raw_podaci!A160</f>
        <v>40</v>
      </c>
      <c r="B160" s="33">
        <f>raw_podaci!B160</f>
        <v>94.35</v>
      </c>
      <c r="C160" s="33">
        <f>raw_podaci!C160</f>
        <v>97.62</v>
      </c>
      <c r="D160" s="33">
        <f>raw_podaci!D160</f>
        <v>94.95</v>
      </c>
      <c r="E160" s="33">
        <f>raw_podaci!E160</f>
        <v>92.22</v>
      </c>
      <c r="F160" s="33">
        <f>raw_podaci!F160</f>
        <v>89.42</v>
      </c>
      <c r="G160">
        <f>raw_podaci!G160/1000</f>
        <v>216.99600000000001</v>
      </c>
      <c r="H160">
        <f>raw_podaci!H160/1000000</f>
        <v>1.138474</v>
      </c>
      <c r="I160" s="33">
        <f>raw_podaci!O160</f>
        <v>2.7999999999999972</v>
      </c>
      <c r="J160" s="19"/>
      <c r="K160" s="19"/>
      <c r="L160" s="19"/>
      <c r="M160" s="19"/>
      <c r="N160" s="19"/>
      <c r="O160" s="19"/>
      <c r="P160" s="19"/>
      <c r="Q160" s="19"/>
      <c r="R160" s="16"/>
      <c r="S160" s="3">
        <f>raw_podaci!A135</f>
        <v>15</v>
      </c>
      <c r="T160" s="12">
        <f>raw_podaci!O135</f>
        <v>8.9599999999999937</v>
      </c>
    </row>
    <row r="161" spans="1:20" x14ac:dyDescent="0.35">
      <c r="A161" s="8">
        <f>raw_podaci!A161</f>
        <v>41</v>
      </c>
      <c r="B161" s="33">
        <f>raw_podaci!B161</f>
        <v>94.97</v>
      </c>
      <c r="C161" s="33">
        <f>raw_podaci!C161</f>
        <v>97.07</v>
      </c>
      <c r="D161" s="33">
        <f>raw_podaci!D161</f>
        <v>95.52</v>
      </c>
      <c r="E161" s="33">
        <f>raw_podaci!E161</f>
        <v>93.15</v>
      </c>
      <c r="F161" s="33">
        <f>raw_podaci!F161</f>
        <v>92.43</v>
      </c>
      <c r="G161">
        <f>raw_podaci!G161/1000</f>
        <v>103.592</v>
      </c>
      <c r="H161">
        <f>raw_podaci!H161/1000000</f>
        <v>1.0017640000000001</v>
      </c>
      <c r="I161" s="33">
        <f>raw_podaci!O161</f>
        <v>0.71999999999999886</v>
      </c>
      <c r="J161" s="19"/>
      <c r="K161" s="19"/>
      <c r="L161" s="19"/>
      <c r="M161" s="19"/>
      <c r="N161" s="19"/>
      <c r="O161" s="19"/>
      <c r="P161" s="19"/>
      <c r="Q161" s="19"/>
      <c r="R161" s="16"/>
      <c r="S161" s="3">
        <f>raw_podaci!A147</f>
        <v>27</v>
      </c>
      <c r="T161" s="12">
        <f>raw_podaci!O147</f>
        <v>9.1900000000000119</v>
      </c>
    </row>
    <row r="162" spans="1:20" x14ac:dyDescent="0.35">
      <c r="A162" s="8">
        <f>raw_podaci!A162</f>
        <v>42</v>
      </c>
      <c r="B162" s="33">
        <f>raw_podaci!B162</f>
        <v>94.5</v>
      </c>
      <c r="C162" s="33">
        <f>raw_podaci!C162</f>
        <v>97.4</v>
      </c>
      <c r="D162" s="33">
        <f>raw_podaci!D162</f>
        <v>96.17</v>
      </c>
      <c r="E162" s="33">
        <f>raw_podaci!E162</f>
        <v>91.6</v>
      </c>
      <c r="F162" s="33">
        <f>raw_podaci!F162</f>
        <v>89.72</v>
      </c>
      <c r="G162">
        <f>raw_podaci!G162/1000</f>
        <v>104.69</v>
      </c>
      <c r="H162">
        <f>raw_podaci!H162/1000000</f>
        <v>1.102204</v>
      </c>
      <c r="I162" s="33">
        <f>raw_podaci!O162</f>
        <v>1.8799999999999955</v>
      </c>
      <c r="J162" s="19"/>
      <c r="K162" s="19"/>
      <c r="L162" s="19"/>
      <c r="M162" s="19"/>
      <c r="N162" s="19"/>
      <c r="O162" s="19"/>
      <c r="P162" s="19"/>
      <c r="Q162" s="19"/>
      <c r="R162" s="16"/>
      <c r="S162" s="3">
        <f>raw_podaci!A144</f>
        <v>24</v>
      </c>
      <c r="T162" s="12">
        <f>raw_podaci!O144</f>
        <v>9.4699999999999989</v>
      </c>
    </row>
    <row r="163" spans="1:20" x14ac:dyDescent="0.35">
      <c r="A163" s="8">
        <f>raw_podaci!A163</f>
        <v>43</v>
      </c>
      <c r="B163" s="33">
        <f>raw_podaci!B163</f>
        <v>94.91</v>
      </c>
      <c r="C163" s="33">
        <f>raw_podaci!C163</f>
        <v>97.05</v>
      </c>
      <c r="D163" s="33">
        <f>raw_podaci!D163</f>
        <v>94.63</v>
      </c>
      <c r="E163" s="33">
        <f>raw_podaci!E163</f>
        <v>95.23</v>
      </c>
      <c r="F163" s="33">
        <f>raw_podaci!F163</f>
        <v>88.39</v>
      </c>
      <c r="G163">
        <f>raw_podaci!G163/1000</f>
        <v>105.785</v>
      </c>
      <c r="H163">
        <f>raw_podaci!H163/1000000</f>
        <v>0.99060400000000004</v>
      </c>
      <c r="I163" s="33">
        <f>raw_podaci!O163</f>
        <v>6.8400000000000034</v>
      </c>
      <c r="J163" s="19"/>
      <c r="K163" s="19"/>
      <c r="L163" s="19"/>
      <c r="M163" s="19"/>
      <c r="N163" s="19"/>
      <c r="O163" s="19"/>
      <c r="P163" s="19"/>
      <c r="Q163" s="19"/>
      <c r="R163" s="16"/>
      <c r="S163" s="3">
        <f>raw_podaci!A123</f>
        <v>3</v>
      </c>
      <c r="T163" s="12">
        <f>raw_podaci!O123</f>
        <v>9.9599999999999937</v>
      </c>
    </row>
    <row r="164" spans="1:20" x14ac:dyDescent="0.35">
      <c r="A164" s="8">
        <f>raw_podaci!A164</f>
        <v>44</v>
      </c>
      <c r="B164" s="33">
        <f>raw_podaci!B164</f>
        <v>93.48</v>
      </c>
      <c r="C164" s="33">
        <f>raw_podaci!C164</f>
        <v>97.05</v>
      </c>
      <c r="D164" s="33">
        <f>raw_podaci!D164</f>
        <v>95.56</v>
      </c>
      <c r="E164" s="33">
        <f>raw_podaci!E164</f>
        <v>93.02</v>
      </c>
      <c r="F164" s="33">
        <f>raw_podaci!F164</f>
        <v>79.95</v>
      </c>
      <c r="G164">
        <f>raw_podaci!G164/1000</f>
        <v>209.87899999999999</v>
      </c>
      <c r="H164">
        <f>raw_podaci!H164/1000000</f>
        <v>1.289134</v>
      </c>
      <c r="I164" s="33">
        <f>raw_podaci!O164</f>
        <v>13.069999999999993</v>
      </c>
      <c r="J164" s="19"/>
      <c r="K164" s="19"/>
      <c r="L164" s="19"/>
      <c r="M164" s="19"/>
      <c r="N164" s="19"/>
      <c r="O164" s="19"/>
      <c r="P164" s="19"/>
      <c r="Q164" s="19"/>
      <c r="R164" s="16"/>
      <c r="S164" s="3">
        <f>raw_podaci!A155</f>
        <v>35</v>
      </c>
      <c r="T164" s="12">
        <f>raw_podaci!O155</f>
        <v>10.850000000000009</v>
      </c>
    </row>
    <row r="165" spans="1:20" x14ac:dyDescent="0.35">
      <c r="A165" s="8">
        <f>raw_podaci!A165</f>
        <v>45</v>
      </c>
      <c r="B165" s="33">
        <f>raw_podaci!B165</f>
        <v>93.8</v>
      </c>
      <c r="C165" s="33">
        <f>raw_podaci!C165</f>
        <v>96.02</v>
      </c>
      <c r="D165" s="33">
        <f>raw_podaci!D165</f>
        <v>95.7</v>
      </c>
      <c r="E165" s="33">
        <f>raw_podaci!E165</f>
        <v>93.02</v>
      </c>
      <c r="F165" s="33">
        <f>raw_podaci!F165</f>
        <v>84.89</v>
      </c>
      <c r="G165">
        <f>raw_podaci!G165/1000</f>
        <v>122.684</v>
      </c>
      <c r="H165">
        <f>raw_podaci!H165/1000000</f>
        <v>1.2054339999999999</v>
      </c>
      <c r="I165" s="33">
        <f>raw_podaci!O165</f>
        <v>8.1299999999999955</v>
      </c>
      <c r="J165" s="19"/>
      <c r="K165" s="19"/>
      <c r="L165" s="19"/>
      <c r="M165" s="19"/>
      <c r="N165" s="19"/>
      <c r="O165" s="19"/>
      <c r="P165" s="19"/>
      <c r="Q165" s="19"/>
      <c r="R165" s="16"/>
      <c r="S165" s="3">
        <f>raw_podaci!A146</f>
        <v>26</v>
      </c>
      <c r="T165" s="12">
        <f>raw_podaci!O146</f>
        <v>11.840000000000003</v>
      </c>
    </row>
    <row r="166" spans="1:20" x14ac:dyDescent="0.35">
      <c r="A166" s="8">
        <f>raw_podaci!A166</f>
        <v>46</v>
      </c>
      <c r="B166" s="33">
        <f>raw_podaci!B166</f>
        <v>93.43</v>
      </c>
      <c r="C166" s="33">
        <f>raw_podaci!C166</f>
        <v>97.13</v>
      </c>
      <c r="D166" s="33">
        <f>raw_podaci!D166</f>
        <v>93.33</v>
      </c>
      <c r="E166" s="33">
        <f>raw_podaci!E166</f>
        <v>92.41</v>
      </c>
      <c r="F166" s="33">
        <f>raw_podaci!F166</f>
        <v>86.71</v>
      </c>
      <c r="G166">
        <f>raw_podaci!G166/1000</f>
        <v>103.691</v>
      </c>
      <c r="H166">
        <f>raw_podaci!H166/1000000</f>
        <v>1.289134</v>
      </c>
      <c r="I166" s="33">
        <f>raw_podaci!O166</f>
        <v>5.7000000000000028</v>
      </c>
      <c r="J166" s="19"/>
      <c r="K166" s="19"/>
      <c r="L166" s="19"/>
      <c r="M166" s="19"/>
      <c r="N166" s="19"/>
      <c r="O166" s="19"/>
      <c r="P166" s="19"/>
      <c r="Q166" s="19"/>
      <c r="R166" s="16"/>
      <c r="S166" s="3">
        <f>raw_podaci!A148</f>
        <v>28</v>
      </c>
      <c r="T166" s="12">
        <f>raw_podaci!O148</f>
        <v>12.849999999999994</v>
      </c>
    </row>
    <row r="167" spans="1:20" x14ac:dyDescent="0.35">
      <c r="A167" s="8">
        <f>raw_podaci!A167</f>
        <v>47</v>
      </c>
      <c r="B167" s="33">
        <f>raw_podaci!B167</f>
        <v>93.7</v>
      </c>
      <c r="C167" s="33">
        <f>raw_podaci!C167</f>
        <v>94.68</v>
      </c>
      <c r="D167" s="33">
        <f>raw_podaci!D167</f>
        <v>96.8</v>
      </c>
      <c r="E167" s="33">
        <f>raw_podaci!E167</f>
        <v>91.84</v>
      </c>
      <c r="F167" s="33">
        <f>raw_podaci!F167</f>
        <v>87.77</v>
      </c>
      <c r="G167">
        <f>raw_podaci!G167/1000</f>
        <v>116.54</v>
      </c>
      <c r="H167">
        <f>raw_podaci!H167/1000000</f>
        <v>1.3393539999999999</v>
      </c>
      <c r="I167" s="33">
        <f>raw_podaci!O167</f>
        <v>4.0700000000000074</v>
      </c>
      <c r="J167" s="19"/>
      <c r="K167" s="19"/>
      <c r="L167" s="19"/>
      <c r="M167" s="19"/>
      <c r="N167" s="19"/>
      <c r="O167" s="19"/>
      <c r="P167" s="19"/>
      <c r="Q167" s="19"/>
      <c r="R167" s="16"/>
      <c r="S167" s="3">
        <f>raw_podaci!A164</f>
        <v>44</v>
      </c>
      <c r="T167" s="12">
        <f>raw_podaci!O164</f>
        <v>13.069999999999993</v>
      </c>
    </row>
    <row r="168" spans="1:20" x14ac:dyDescent="0.35">
      <c r="A168" s="8">
        <f>raw_podaci!A168</f>
        <v>48</v>
      </c>
      <c r="B168" s="33">
        <f>raw_podaci!B168</f>
        <v>94.96</v>
      </c>
      <c r="C168" s="33">
        <f>raw_podaci!C168</f>
        <v>97.42</v>
      </c>
      <c r="D168" s="33">
        <f>raw_podaci!D168</f>
        <v>95.49</v>
      </c>
      <c r="E168" s="33">
        <f>raw_podaci!E168</f>
        <v>94.59</v>
      </c>
      <c r="F168" s="33">
        <f>raw_podaci!F168</f>
        <v>87.01</v>
      </c>
      <c r="G168">
        <f>raw_podaci!G168/1000</f>
        <v>106.87</v>
      </c>
      <c r="H168">
        <f>raw_podaci!H168/1000000</f>
        <v>1.0017640000000001</v>
      </c>
      <c r="I168" s="33">
        <f>raw_podaci!O168</f>
        <v>7.5799999999999983</v>
      </c>
      <c r="J168" s="19"/>
      <c r="K168" s="19"/>
      <c r="L168" s="19"/>
      <c r="M168" s="19"/>
      <c r="N168" s="19"/>
      <c r="O168" s="19"/>
      <c r="P168" s="19"/>
      <c r="Q168" s="19"/>
      <c r="R168" s="16"/>
      <c r="S168" s="3">
        <f>raw_podaci!A141</f>
        <v>21</v>
      </c>
      <c r="T168" s="12">
        <f>raw_podaci!O141</f>
        <v>13.909999999999997</v>
      </c>
    </row>
    <row r="169" spans="1:20" x14ac:dyDescent="0.35">
      <c r="A169" s="8">
        <f>raw_podaci!A169</f>
        <v>49</v>
      </c>
      <c r="B169" s="33">
        <f>raw_podaci!B169</f>
        <v>93.96</v>
      </c>
      <c r="C169" s="33">
        <f>raw_podaci!C169</f>
        <v>96.52</v>
      </c>
      <c r="D169" s="33">
        <f>raw_podaci!D169</f>
        <v>97.05</v>
      </c>
      <c r="E169" s="33">
        <f>raw_podaci!E169</f>
        <v>90.17</v>
      </c>
      <c r="F169" s="33">
        <f>raw_podaci!F169</f>
        <v>88.88</v>
      </c>
      <c r="G169">
        <f>raw_podaci!G169/1000</f>
        <v>115.024</v>
      </c>
      <c r="H169">
        <f>raw_podaci!H169/1000000</f>
        <v>1.2947139999999999</v>
      </c>
      <c r="I169" s="33">
        <f>raw_podaci!O169</f>
        <v>1.2900000000000063</v>
      </c>
      <c r="J169" s="19"/>
      <c r="K169" s="19"/>
      <c r="L169" s="19"/>
      <c r="M169" s="19"/>
      <c r="N169" s="19"/>
      <c r="O169" s="19"/>
      <c r="P169" s="19"/>
      <c r="Q169" s="19"/>
      <c r="R169" s="16"/>
      <c r="S169" s="3">
        <f>raw_podaci!A142</f>
        <v>22</v>
      </c>
      <c r="T169" s="12">
        <f>raw_podaci!O142</f>
        <v>14.420000000000002</v>
      </c>
    </row>
    <row r="170" spans="1:20" x14ac:dyDescent="0.35">
      <c r="A170" s="8">
        <f>raw_podaci!A170</f>
        <v>50</v>
      </c>
      <c r="B170" s="33">
        <f>raw_podaci!B170</f>
        <v>93.94</v>
      </c>
      <c r="C170" s="33">
        <f>raw_podaci!C170</f>
        <v>96.56</v>
      </c>
      <c r="D170" s="33">
        <f>raw_podaci!D170</f>
        <v>96.18</v>
      </c>
      <c r="E170" s="33">
        <f>raw_podaci!E170</f>
        <v>92.47</v>
      </c>
      <c r="F170" s="33">
        <f>raw_podaci!F170</f>
        <v>84.72</v>
      </c>
      <c r="G170">
        <f>raw_podaci!G170/1000</f>
        <v>116.53</v>
      </c>
      <c r="H170">
        <f>raw_podaci!H170/1000000</f>
        <v>1.2054339999999999</v>
      </c>
      <c r="I170" s="33">
        <f>raw_podaci!O170</f>
        <v>7.75</v>
      </c>
      <c r="J170" s="19"/>
      <c r="K170" s="19"/>
      <c r="L170" s="19"/>
      <c r="M170" s="19"/>
      <c r="N170" s="19"/>
      <c r="O170" s="19"/>
      <c r="P170" s="19"/>
      <c r="Q170" s="19"/>
      <c r="R170" s="16"/>
      <c r="S170" s="11">
        <f>raw_podaci!A132</f>
        <v>12</v>
      </c>
      <c r="T170" s="12">
        <f>raw_podaci!O132</f>
        <v>15.569999999999993</v>
      </c>
    </row>
  </sheetData>
  <mergeCells count="2">
    <mergeCell ref="A52:B53"/>
    <mergeCell ref="A59:B60"/>
  </mergeCells>
  <pageMargins left="0.75" right="0.75" top="1" bottom="1" header="0.5" footer="0.5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5"/>
  <sheetViews>
    <sheetView workbookViewId="0">
      <selection activeCell="F63" sqref="F63"/>
    </sheetView>
  </sheetViews>
  <sheetFormatPr defaultRowHeight="14.5" x14ac:dyDescent="0.35"/>
  <cols>
    <col min="1" max="1" width="25" customWidth="1"/>
    <col min="2" max="8" width="12" customWidth="1"/>
  </cols>
  <sheetData>
    <row r="1" spans="1:22" x14ac:dyDescent="0.3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x14ac:dyDescent="0.35">
      <c r="A2" t="s">
        <v>29</v>
      </c>
      <c r="B2" s="33">
        <f>MIN(podaci!B2:B51)</f>
        <v>93.68</v>
      </c>
      <c r="C2" s="33">
        <f>QUARTILE(podaci!B2:B51,1)</f>
        <v>94.47</v>
      </c>
      <c r="D2" s="33">
        <f>MEDIAN(podaci!B2:B51)</f>
        <v>95.185000000000002</v>
      </c>
      <c r="E2" s="33">
        <f>AVERAGE(podaci!B2:B51)</f>
        <v>95.109400000000008</v>
      </c>
      <c r="F2" s="33">
        <f>QUARTILE(podaci!B2:B51,3)</f>
        <v>95.594999999999999</v>
      </c>
      <c r="G2" s="33">
        <f>MAX(podaci!B2:B51)</f>
        <v>96.42</v>
      </c>
      <c r="H2">
        <f>STDEV(podaci!B2:B51)</f>
        <v>0.77044755082447247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x14ac:dyDescent="0.35">
      <c r="A3" t="s">
        <v>30</v>
      </c>
      <c r="B3" s="33">
        <f>MIN(podaci!C2:C51)</f>
        <v>97.4</v>
      </c>
      <c r="C3" s="33">
        <f>QUARTILE(podaci!C2:C51,1)</f>
        <v>97.77</v>
      </c>
      <c r="D3" s="33">
        <f>MEDIAN(podaci!C2:C51)</f>
        <v>97.77</v>
      </c>
      <c r="E3" s="33">
        <f>AVERAGE(podaci!C2:C51)</f>
        <v>97.750200000000063</v>
      </c>
      <c r="F3" s="33">
        <f>QUARTILE(podaci!C2:C51,3)</f>
        <v>97.77</v>
      </c>
      <c r="G3" s="33">
        <f>MAX(podaci!C2:C51)</f>
        <v>97.77</v>
      </c>
      <c r="H3">
        <f>STDEV(podaci!C2:C51)</f>
        <v>6.5105565767276954E-2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1:22" x14ac:dyDescent="0.35">
      <c r="A4" t="s">
        <v>31</v>
      </c>
      <c r="B4" s="33">
        <f>MIN(podaci!D2:D51)</f>
        <v>95.56</v>
      </c>
      <c r="C4" s="33">
        <f>QUARTILE(podaci!D2:D51,1)</f>
        <v>96.012500000000003</v>
      </c>
      <c r="D4" s="33">
        <f>MEDIAN(podaci!D2:D51)</f>
        <v>96.454999999999998</v>
      </c>
      <c r="E4" s="33">
        <f>AVERAGE(podaci!D2:D51)</f>
        <v>96.353400000000008</v>
      </c>
      <c r="F4" s="33">
        <f>QUARTILE(podaci!D2:D51,3)</f>
        <v>96.75</v>
      </c>
      <c r="G4" s="33">
        <f>MAX(podaci!D2:D51)</f>
        <v>96.89</v>
      </c>
      <c r="H4">
        <f>STDEV(podaci!D2:D51)</f>
        <v>0.37391808553997197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 x14ac:dyDescent="0.35">
      <c r="A5" t="s">
        <v>32</v>
      </c>
      <c r="B5" s="33">
        <f>MIN(podaci!E2:E51)</f>
        <v>91.99</v>
      </c>
      <c r="C5" s="33">
        <f>QUARTILE(podaci!E2:E51,1)</f>
        <v>93.974999999999994</v>
      </c>
      <c r="D5" s="33">
        <f>MEDIAN(podaci!E2:E51)</f>
        <v>94.525000000000006</v>
      </c>
      <c r="E5" s="33">
        <f>AVERAGE(podaci!E2:E51)</f>
        <v>94.525399999999991</v>
      </c>
      <c r="F5" s="33">
        <f>QUARTILE(podaci!E2:E51,3)</f>
        <v>95.13</v>
      </c>
      <c r="G5" s="33">
        <f>MAX(podaci!E2:E51)</f>
        <v>96.89</v>
      </c>
      <c r="H5">
        <f>STDEV(podaci!E2:E51)</f>
        <v>1.0234340153001895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spans="1:22" x14ac:dyDescent="0.35">
      <c r="A6" t="s">
        <v>33</v>
      </c>
      <c r="B6" s="33">
        <f>MIN(podaci!F2:F51)</f>
        <v>73.59</v>
      </c>
      <c r="C6" s="33">
        <f>QUARTILE(podaci!F2:F51,1)</f>
        <v>80.569999999999993</v>
      </c>
      <c r="D6" s="33">
        <f>MEDIAN(podaci!F2:F51)</f>
        <v>86.39</v>
      </c>
      <c r="E6" s="33">
        <f>AVERAGE(podaci!F2:F51)</f>
        <v>85.332000000000008</v>
      </c>
      <c r="F6" s="33">
        <f>QUARTILE(podaci!F2:F51,3)</f>
        <v>88.914999999999992</v>
      </c>
      <c r="G6" s="33">
        <f>MAX(podaci!F2:F51)</f>
        <v>94.16</v>
      </c>
      <c r="H6">
        <f>STDEV(podaci!F2:F51)</f>
        <v>5.5731052422160774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spans="1:22" x14ac:dyDescent="0.35">
      <c r="A7" t="s">
        <v>34</v>
      </c>
      <c r="B7" s="33">
        <f>MIN(podaci!I2:I51)</f>
        <v>0.98000000000000398</v>
      </c>
      <c r="C7" s="33">
        <f>QUARTILE(podaci!I2:I51,1)</f>
        <v>6.0949999999999953</v>
      </c>
      <c r="D7" s="33">
        <f>MEDIAN(podaci!I2:I51)</f>
        <v>7.884999999999998</v>
      </c>
      <c r="E7" s="33">
        <f>AVERAGE(podaci!I2:I51)</f>
        <v>9.1933999999999969</v>
      </c>
      <c r="F7" s="33">
        <f>QUARTILE(podaci!I2:I51,3)</f>
        <v>13.215</v>
      </c>
      <c r="G7" s="33">
        <f>MAX(podaci!I2:I51)</f>
        <v>21.259999999999991</v>
      </c>
      <c r="H7">
        <f>STDEV(podaci!I2:I51)</f>
        <v>5.5736389791040262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x14ac:dyDescent="0.35">
      <c r="A8" t="s">
        <v>35</v>
      </c>
      <c r="B8">
        <f>MIN(podaci!G2:G51)</f>
        <v>84.179000000000002</v>
      </c>
      <c r="C8">
        <f>QUARTILE(podaci!G2:G51,1)</f>
        <v>87.498249999999999</v>
      </c>
      <c r="D8">
        <f>MEDIAN(podaci!G2:G51)</f>
        <v>91.251499999999993</v>
      </c>
      <c r="E8">
        <f>AVERAGE(podaci!G2:G51)</f>
        <v>108.72040000000001</v>
      </c>
      <c r="F8">
        <f>QUARTILE(podaci!G2:G51,3)</f>
        <v>94.833749999999995</v>
      </c>
      <c r="G8">
        <f>MAX(podaci!G2:G51)</f>
        <v>211.01599999999999</v>
      </c>
      <c r="H8">
        <f>STDEV(podaci!G2:G51)</f>
        <v>40.543811809962186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x14ac:dyDescent="0.35">
      <c r="A9" t="s">
        <v>36</v>
      </c>
      <c r="B9">
        <f>MIN(podaci!H2:H51)</f>
        <v>0.697654</v>
      </c>
      <c r="C9">
        <f>QUARTILE(podaci!H2:H51,1)</f>
        <v>0.92922400000000005</v>
      </c>
      <c r="D9">
        <f>MEDIAN(podaci!H2:H51)</f>
        <v>0.93480399999999997</v>
      </c>
      <c r="E9">
        <f>AVERAGE(podaci!H2:H51)</f>
        <v>1.0280457999999997</v>
      </c>
      <c r="F9">
        <f>QUARTILE(podaci!H2:H51,3)</f>
        <v>1.1593990000000001</v>
      </c>
      <c r="G9">
        <f>MAX(podaci!H2:H51)</f>
        <v>1.3895740000000001</v>
      </c>
      <c r="H9">
        <f>STDEV(podaci!H2:H51)</f>
        <v>0.16507699792410038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x14ac:dyDescent="0.35">
      <c r="A10" s="69" t="s">
        <v>98</v>
      </c>
      <c r="B10" s="6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x14ac:dyDescent="0.35">
      <c r="A11" s="69"/>
      <c r="B11" s="6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x14ac:dyDescent="0.3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x14ac:dyDescent="0.3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x14ac:dyDescent="0.3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 x14ac:dyDescent="0.3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x14ac:dyDescent="0.3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x14ac:dyDescent="0.3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 x14ac:dyDescent="0.3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x14ac:dyDescent="0.3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 x14ac:dyDescent="0.3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3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spans="1:22" x14ac:dyDescent="0.3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spans="1:22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1:22" x14ac:dyDescent="0.3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spans="1:22" x14ac:dyDescent="0.3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spans="1:22" x14ac:dyDescent="0.3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spans="1:22" x14ac:dyDescent="0.3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spans="1:22" x14ac:dyDescent="0.3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1:22" x14ac:dyDescent="0.3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spans="1:22" x14ac:dyDescent="0.3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spans="1:22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spans="1:22" x14ac:dyDescent="0.3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spans="1:22" x14ac:dyDescent="0.3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spans="1:22" x14ac:dyDescent="0.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spans="1:22" x14ac:dyDescent="0.3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spans="1:22" x14ac:dyDescent="0.3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spans="1:22" x14ac:dyDescent="0.3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spans="1:22" x14ac:dyDescent="0.3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spans="1:22" x14ac:dyDescent="0.3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spans="1:22" x14ac:dyDescent="0.3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spans="1:22" x14ac:dyDescent="0.35">
      <c r="A42" s="30"/>
      <c r="B42" s="22"/>
      <c r="C42" s="22"/>
      <c r="D42" s="22"/>
      <c r="E42" s="22"/>
      <c r="F42" s="22"/>
      <c r="G42" s="18"/>
      <c r="H42" s="30"/>
      <c r="I42" s="22"/>
      <c r="J42" s="22"/>
      <c r="K42" s="22"/>
      <c r="L42" s="22"/>
      <c r="M42" s="22"/>
      <c r="N42" s="18"/>
      <c r="O42" s="18"/>
      <c r="P42" s="18"/>
      <c r="Q42" s="18"/>
      <c r="R42" s="18"/>
      <c r="S42" s="18"/>
      <c r="T42" s="18"/>
      <c r="U42" s="18"/>
      <c r="V42" s="18"/>
    </row>
    <row r="43" spans="1:22" x14ac:dyDescent="0.35">
      <c r="A43" s="30"/>
      <c r="B43" s="22"/>
      <c r="C43" s="22"/>
      <c r="D43" s="22"/>
      <c r="E43" s="22"/>
      <c r="F43" s="22"/>
      <c r="G43" s="18"/>
      <c r="H43" s="30"/>
      <c r="I43" s="22"/>
      <c r="J43" s="22"/>
      <c r="K43" s="22"/>
      <c r="L43" s="22"/>
      <c r="M43" s="22"/>
      <c r="N43" s="18"/>
      <c r="O43" s="18"/>
      <c r="P43" s="18"/>
      <c r="Q43" s="18"/>
      <c r="R43" s="18"/>
      <c r="S43" s="18"/>
      <c r="T43" s="18"/>
      <c r="U43" s="18"/>
      <c r="V43" s="18"/>
    </row>
    <row r="44" spans="1:22" x14ac:dyDescent="0.3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spans="1:22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spans="1:22" x14ac:dyDescent="0.3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spans="1:22" x14ac:dyDescent="0.3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spans="1:22" x14ac:dyDescent="0.3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spans="1:22" x14ac:dyDescent="0.3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spans="1:22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spans="1:22" x14ac:dyDescent="0.3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spans="1:22" x14ac:dyDescent="0.3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spans="1:22" x14ac:dyDescent="0.3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spans="1:22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spans="1:22" x14ac:dyDescent="0.3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spans="1:22" x14ac:dyDescent="0.3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spans="1:22" x14ac:dyDescent="0.3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spans="1:22" x14ac:dyDescent="0.3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spans="1:22" x14ac:dyDescent="0.35">
      <c r="A59" s="30"/>
      <c r="B59" s="22"/>
      <c r="C59" s="22"/>
      <c r="D59" s="22"/>
      <c r="E59" s="22"/>
      <c r="F59" s="22"/>
      <c r="G59" s="18"/>
      <c r="H59" s="30"/>
      <c r="I59" s="22"/>
      <c r="J59" s="22"/>
      <c r="K59" s="22"/>
      <c r="L59" s="22"/>
      <c r="M59" s="22"/>
      <c r="N59" s="18"/>
      <c r="O59" s="18"/>
      <c r="P59" s="18"/>
      <c r="Q59" s="18"/>
      <c r="R59" s="18"/>
      <c r="S59" s="18"/>
      <c r="T59" s="18"/>
      <c r="U59" s="18"/>
      <c r="V59" s="18"/>
    </row>
    <row r="60" spans="1:22" x14ac:dyDescent="0.35">
      <c r="A60" s="30"/>
      <c r="B60" s="22"/>
      <c r="C60" s="22"/>
      <c r="D60" s="22"/>
      <c r="E60" s="22"/>
      <c r="F60" s="22"/>
      <c r="G60" s="18"/>
      <c r="H60" s="30"/>
      <c r="I60" s="22"/>
      <c r="J60" s="22"/>
      <c r="K60" s="22"/>
      <c r="L60" s="22"/>
      <c r="M60" s="22"/>
      <c r="N60" s="18"/>
      <c r="O60" s="18"/>
      <c r="P60" s="18"/>
      <c r="Q60" s="18"/>
      <c r="R60" s="18"/>
      <c r="S60" s="18"/>
      <c r="T60" s="18"/>
      <c r="U60" s="18"/>
      <c r="V60" s="18"/>
    </row>
    <row r="61" spans="1:22" x14ac:dyDescent="0.35">
      <c r="A61" s="6" t="s">
        <v>21</v>
      </c>
      <c r="B61" s="6" t="s">
        <v>22</v>
      </c>
      <c r="C61" s="6" t="s">
        <v>23</v>
      </c>
      <c r="D61" s="6" t="s">
        <v>24</v>
      </c>
      <c r="E61" s="6" t="s">
        <v>25</v>
      </c>
      <c r="F61" s="6" t="s">
        <v>26</v>
      </c>
      <c r="G61" s="6" t="s">
        <v>27</v>
      </c>
      <c r="H61" s="6" t="s">
        <v>28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spans="1:22" x14ac:dyDescent="0.35">
      <c r="A62" t="s">
        <v>29</v>
      </c>
      <c r="B62" s="33">
        <f>MIN(podaci!B62:B111)</f>
        <v>92.3</v>
      </c>
      <c r="C62" s="33">
        <f>QUARTILE(podaci!B62:B111,1)</f>
        <v>93.52</v>
      </c>
      <c r="D62" s="33">
        <f>MEDIAN(podaci!B62:B111)</f>
        <v>93.944999999999993</v>
      </c>
      <c r="E62" s="33">
        <f>AVERAGE(podaci!B62:B111)</f>
        <v>93.977200000000025</v>
      </c>
      <c r="F62" s="33">
        <f>QUARTILE(podaci!B62:B111,3)</f>
        <v>94.492500000000007</v>
      </c>
      <c r="G62" s="33">
        <f>MAX(podaci!B62:B111)</f>
        <v>95.64</v>
      </c>
      <c r="H62">
        <f>STDEV(podaci!B62:B111)</f>
        <v>0.70824312670905076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spans="1:22" x14ac:dyDescent="0.35">
      <c r="A63" t="s">
        <v>30</v>
      </c>
      <c r="B63" s="33">
        <f>MIN(podaci!C62:C111)</f>
        <v>93.99</v>
      </c>
      <c r="C63" s="33">
        <f>QUARTILE(podaci!C62:C111,1)</f>
        <v>95.33</v>
      </c>
      <c r="D63" s="33">
        <f>MEDIAN(podaci!C62:C111)</f>
        <v>96.545000000000002</v>
      </c>
      <c r="E63" s="33">
        <f>AVERAGE(podaci!C62:C111)</f>
        <v>96.24160000000002</v>
      </c>
      <c r="F63" s="33">
        <f>QUARTILE(podaci!C62:C111,3)</f>
        <v>97.137500000000003</v>
      </c>
      <c r="G63" s="33">
        <f>MAX(podaci!C62:C111)</f>
        <v>97.42</v>
      </c>
      <c r="H63">
        <f>STDEV(podaci!C62:C111)</f>
        <v>1.097591723655357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spans="1:22" x14ac:dyDescent="0.35">
      <c r="A64" t="s">
        <v>31</v>
      </c>
      <c r="B64" s="33">
        <f>MIN(podaci!D62:D111)</f>
        <v>93.53</v>
      </c>
      <c r="C64" s="33">
        <f>QUARTILE(podaci!D62:D111,1)</f>
        <v>94.84</v>
      </c>
      <c r="D64" s="33">
        <f>MEDIAN(podaci!D62:D111)</f>
        <v>95.8</v>
      </c>
      <c r="E64" s="33">
        <f>AVERAGE(podaci!D62:D111)</f>
        <v>95.576000000000022</v>
      </c>
      <c r="F64" s="33">
        <f>QUARTILE(podaci!D62:D111,3)</f>
        <v>96.222499999999997</v>
      </c>
      <c r="G64" s="33">
        <f>MAX(podaci!D62:D111)</f>
        <v>97.05</v>
      </c>
      <c r="H64">
        <f>STDEV(podaci!D62:D111)</f>
        <v>0.90793778443688733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spans="1:22" x14ac:dyDescent="0.35">
      <c r="A65" t="s">
        <v>32</v>
      </c>
      <c r="B65" s="33">
        <f>MIN(podaci!E62:E111)</f>
        <v>89.71</v>
      </c>
      <c r="C65" s="33">
        <f>QUARTILE(podaci!E62:E111,1)</f>
        <v>92.427499999999995</v>
      </c>
      <c r="D65" s="33">
        <f>MEDIAN(podaci!E62:E111)</f>
        <v>93.254999999999995</v>
      </c>
      <c r="E65" s="33">
        <f>AVERAGE(podaci!E62:E111)</f>
        <v>93.228799999999993</v>
      </c>
      <c r="F65" s="33">
        <f>QUARTILE(podaci!E62:E111,3)</f>
        <v>94.34</v>
      </c>
      <c r="G65" s="33">
        <f>MAX(podaci!E62:E111)</f>
        <v>96.13</v>
      </c>
      <c r="H65">
        <f>STDEV(podaci!E62:E111)</f>
        <v>1.7403689967641813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spans="1:22" x14ac:dyDescent="0.35">
      <c r="A66" t="s">
        <v>33</v>
      </c>
      <c r="B66" s="33">
        <f>MIN(podaci!F62:F111)</f>
        <v>76.930000000000007</v>
      </c>
      <c r="C66" s="33">
        <f>QUARTILE(podaci!F62:F111,1)</f>
        <v>82.935000000000002</v>
      </c>
      <c r="D66" s="33">
        <f>MEDIAN(podaci!F62:F111)</f>
        <v>85.865000000000009</v>
      </c>
      <c r="E66" s="33">
        <f>AVERAGE(podaci!F62:F111)</f>
        <v>85.601799999999997</v>
      </c>
      <c r="F66" s="33">
        <f>QUARTILE(podaci!F62:F111,3)</f>
        <v>88.21</v>
      </c>
      <c r="G66" s="33">
        <f>MAX(podaci!F62:F111)</f>
        <v>92.66</v>
      </c>
      <c r="H66">
        <f>STDEV(podaci!F62:F111)</f>
        <v>3.6030540843420429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spans="1:22" x14ac:dyDescent="0.35">
      <c r="A67" t="s">
        <v>34</v>
      </c>
      <c r="B67" s="33">
        <f>MIN(podaci!I62:I111)</f>
        <v>-1.3400000000000034</v>
      </c>
      <c r="C67" s="33">
        <f>QUARTILE(podaci!I62:I111,1)</f>
        <v>4.860000000000003</v>
      </c>
      <c r="D67" s="33">
        <f>MEDIAN(podaci!I62:I111)</f>
        <v>7.4699999999999989</v>
      </c>
      <c r="E67" s="33">
        <f>AVERAGE(podaci!I62:I111)</f>
        <v>7.6270000000000007</v>
      </c>
      <c r="F67" s="33">
        <f>QUARTILE(podaci!I62:I111,3)</f>
        <v>10.292500000000011</v>
      </c>
      <c r="G67" s="33">
        <f>MAX(podaci!I62:I111)</f>
        <v>17.799999999999997</v>
      </c>
      <c r="H67">
        <f>STDEV(podaci!I62:I111)</f>
        <v>3.9999373719586941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spans="1:22" x14ac:dyDescent="0.35">
      <c r="A68" t="s">
        <v>35</v>
      </c>
      <c r="B68">
        <f>MIN(podaci!G62:G111)</f>
        <v>97.21</v>
      </c>
      <c r="C68">
        <f>QUARTILE(podaci!G62:G111,1)</f>
        <v>109.63200000000001</v>
      </c>
      <c r="D68">
        <f>MEDIAN(podaci!G62:G111)</f>
        <v>115.29400000000001</v>
      </c>
      <c r="E68">
        <f>AVERAGE(podaci!G62:G111)</f>
        <v>119.65062000000002</v>
      </c>
      <c r="F68">
        <f>QUARTILE(podaci!G62:G111,3)</f>
        <v>127.01125</v>
      </c>
      <c r="G68">
        <f>MAX(podaci!G62:G111)</f>
        <v>213.99799999999999</v>
      </c>
      <c r="H68">
        <f>STDEV(podaci!G62:G111)</f>
        <v>18.167191057901054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spans="1:22" x14ac:dyDescent="0.35">
      <c r="A69" t="s">
        <v>36</v>
      </c>
      <c r="B69">
        <f>MIN(podaci!H62:H111)</f>
        <v>0.887374</v>
      </c>
      <c r="C69">
        <f>QUARTILE(podaci!H62:H111,1)</f>
        <v>1.0980190000000001</v>
      </c>
      <c r="D69">
        <f>MEDIAN(podaci!H62:H111)</f>
        <v>1.192879</v>
      </c>
      <c r="E69">
        <f>AVERAGE(podaci!H62:H111)</f>
        <v>1.1973988000000002</v>
      </c>
      <c r="F69">
        <f>QUARTILE(podaci!H62:H111,3)</f>
        <v>1.2933189999999999</v>
      </c>
      <c r="G69">
        <f>MAX(podaci!H62:H111)</f>
        <v>1.660204</v>
      </c>
      <c r="H69">
        <f>STDEV(podaci!H62:H111)</f>
        <v>0.15339216000826061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spans="1:22" x14ac:dyDescent="0.35">
      <c r="A70" s="69" t="s">
        <v>102</v>
      </c>
      <c r="B70" s="6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spans="1:22" x14ac:dyDescent="0.35">
      <c r="A71" s="69"/>
      <c r="B71" s="6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spans="1:22" x14ac:dyDescent="0.3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spans="1:22" x14ac:dyDescent="0.3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spans="1:22" x14ac:dyDescent="0.3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spans="1:22" x14ac:dyDescent="0.3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spans="1:22" x14ac:dyDescent="0.3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spans="1:22" x14ac:dyDescent="0.3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spans="1:22" x14ac:dyDescent="0.3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spans="1:22" x14ac:dyDescent="0.3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spans="1:22" x14ac:dyDescent="0.3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spans="1:22" x14ac:dyDescent="0.3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spans="1:22" x14ac:dyDescent="0.3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spans="1:22" x14ac:dyDescent="0.3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spans="1:22" x14ac:dyDescent="0.3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spans="1:22" x14ac:dyDescent="0.3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spans="1:22" x14ac:dyDescent="0.3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spans="1:22" x14ac:dyDescent="0.3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spans="1:22" x14ac:dyDescent="0.3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spans="1:22" x14ac:dyDescent="0.3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spans="1:22" x14ac:dyDescent="0.3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spans="1:22" x14ac:dyDescent="0.3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spans="1:22" x14ac:dyDescent="0.3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spans="1:22" x14ac:dyDescent="0.3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spans="1:22" x14ac:dyDescent="0.3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spans="1:22" x14ac:dyDescent="0.3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spans="1:22" x14ac:dyDescent="0.3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spans="1:22" x14ac:dyDescent="0.3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spans="1:22" x14ac:dyDescent="0.3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spans="1:22" x14ac:dyDescent="0.3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spans="1:22" x14ac:dyDescent="0.3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spans="1:22" x14ac:dyDescent="0.3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spans="1:22" x14ac:dyDescent="0.35">
      <c r="A102" s="30"/>
      <c r="B102" s="22"/>
      <c r="C102" s="22"/>
      <c r="D102" s="22"/>
      <c r="E102" s="22"/>
      <c r="F102" s="22"/>
      <c r="G102" s="18"/>
      <c r="H102" s="30"/>
      <c r="I102" s="22"/>
      <c r="J102" s="22"/>
      <c r="K102" s="22"/>
      <c r="L102" s="22"/>
      <c r="M102" s="22"/>
      <c r="N102" s="18"/>
      <c r="O102" s="18"/>
      <c r="P102" s="18"/>
      <c r="Q102" s="18"/>
      <c r="R102" s="18"/>
      <c r="S102" s="18"/>
      <c r="T102" s="18"/>
      <c r="U102" s="18"/>
      <c r="V102" s="18"/>
    </row>
    <row r="103" spans="1:22" x14ac:dyDescent="0.35">
      <c r="A103" s="30"/>
      <c r="B103" s="22"/>
      <c r="C103" s="22"/>
      <c r="D103" s="22"/>
      <c r="E103" s="22"/>
      <c r="F103" s="22"/>
      <c r="G103" s="18"/>
      <c r="H103" s="30"/>
      <c r="I103" s="22"/>
      <c r="J103" s="22"/>
      <c r="K103" s="22"/>
      <c r="L103" s="22"/>
      <c r="M103" s="22"/>
      <c r="N103" s="18"/>
      <c r="O103" s="18"/>
      <c r="P103" s="18"/>
      <c r="Q103" s="18"/>
      <c r="R103" s="18"/>
      <c r="S103" s="18"/>
      <c r="T103" s="18"/>
      <c r="U103" s="18"/>
      <c r="V103" s="18"/>
    </row>
    <row r="104" spans="1:22" x14ac:dyDescent="0.3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spans="1:22" x14ac:dyDescent="0.3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spans="1:22" x14ac:dyDescent="0.3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spans="1:22" x14ac:dyDescent="0.3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spans="1:22" x14ac:dyDescent="0.3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spans="1:22" x14ac:dyDescent="0.3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spans="1:22" x14ac:dyDescent="0.3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spans="1:22" x14ac:dyDescent="0.3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spans="1:22" x14ac:dyDescent="0.3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spans="1:22" x14ac:dyDescent="0.3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spans="1:22" x14ac:dyDescent="0.3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spans="1:22" x14ac:dyDescent="0.3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spans="1:22" x14ac:dyDescent="0.3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spans="1:22" x14ac:dyDescent="0.3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spans="1:22" x14ac:dyDescent="0.35">
      <c r="A118" s="30"/>
      <c r="B118" s="22"/>
      <c r="C118" s="22"/>
      <c r="D118" s="22"/>
      <c r="E118" s="22"/>
      <c r="F118" s="22"/>
      <c r="G118" s="18"/>
      <c r="H118" s="30"/>
      <c r="I118" s="22"/>
      <c r="J118" s="22"/>
      <c r="K118" s="22"/>
      <c r="L118" s="22"/>
      <c r="M118" s="22"/>
      <c r="N118" s="18"/>
      <c r="O118" s="18"/>
      <c r="P118" s="18"/>
      <c r="Q118" s="18"/>
      <c r="R118" s="18"/>
      <c r="S118" s="18"/>
      <c r="T118" s="18"/>
      <c r="U118" s="18"/>
      <c r="V118" s="18"/>
    </row>
    <row r="119" spans="1:22" x14ac:dyDescent="0.35">
      <c r="A119" s="30"/>
      <c r="B119" s="22"/>
      <c r="C119" s="22"/>
      <c r="D119" s="22"/>
      <c r="E119" s="22"/>
      <c r="F119" s="22"/>
      <c r="G119" s="18"/>
      <c r="H119" s="30"/>
      <c r="I119" s="22"/>
      <c r="J119" s="22"/>
      <c r="K119" s="22"/>
      <c r="L119" s="22"/>
      <c r="M119" s="22"/>
      <c r="N119" s="18"/>
      <c r="O119" s="18"/>
      <c r="P119" s="18"/>
      <c r="Q119" s="18"/>
      <c r="R119" s="18"/>
      <c r="S119" s="18"/>
      <c r="T119" s="18"/>
      <c r="U119" s="18"/>
      <c r="V119" s="18"/>
    </row>
    <row r="120" spans="1:22" x14ac:dyDescent="0.35">
      <c r="A120" s="6" t="s">
        <v>21</v>
      </c>
      <c r="B120" s="6" t="s">
        <v>22</v>
      </c>
      <c r="C120" s="6" t="s">
        <v>23</v>
      </c>
      <c r="D120" s="6" t="s">
        <v>24</v>
      </c>
      <c r="E120" s="6" t="s">
        <v>25</v>
      </c>
      <c r="F120" s="6" t="s">
        <v>26</v>
      </c>
      <c r="G120" s="6" t="s">
        <v>27</v>
      </c>
      <c r="H120" s="6" t="s">
        <v>28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spans="1:22" x14ac:dyDescent="0.35">
      <c r="A121" t="s">
        <v>29</v>
      </c>
      <c r="B121" s="33">
        <f>MIN(podaci!B121:B170)</f>
        <v>92.15</v>
      </c>
      <c r="C121" s="33">
        <f>QUARTILE(podaci!B121:B170,1)</f>
        <v>93.53</v>
      </c>
      <c r="D121" s="33">
        <f>MEDIAN(podaci!B121:B170)</f>
        <v>94.085000000000008</v>
      </c>
      <c r="E121" s="33">
        <f>AVERAGE(podaci!B121:B170)</f>
        <v>94.179399999999987</v>
      </c>
      <c r="F121" s="33">
        <f>QUARTILE(podaci!B121:B170,3)</f>
        <v>94.91</v>
      </c>
      <c r="G121" s="33">
        <f>MAX(podaci!B121:B170)</f>
        <v>95.42</v>
      </c>
      <c r="H121">
        <f>STDEV(podaci!B121:B170)</f>
        <v>0.7877438980909921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spans="1:22" x14ac:dyDescent="0.35">
      <c r="A122" t="s">
        <v>30</v>
      </c>
      <c r="B122" s="33">
        <f>MIN(podaci!C121:C170)</f>
        <v>94.68</v>
      </c>
      <c r="C122" s="33">
        <f>QUARTILE(podaci!C121:C170,1)</f>
        <v>96.752499999999998</v>
      </c>
      <c r="D122" s="33">
        <f>MEDIAN(podaci!C121:C170)</f>
        <v>97.07</v>
      </c>
      <c r="E122" s="33">
        <f>AVERAGE(podaci!C121:C170)</f>
        <v>96.884800000000055</v>
      </c>
      <c r="F122" s="33">
        <f>QUARTILE(podaci!C121:C170,3)</f>
        <v>97.42</v>
      </c>
      <c r="G122" s="33">
        <f>MAX(podaci!C121:C170)</f>
        <v>97.62</v>
      </c>
      <c r="H122">
        <f>STDEV(podaci!C121:C170)</f>
        <v>0.76071995973739004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spans="1:22" x14ac:dyDescent="0.35">
      <c r="A123" t="s">
        <v>31</v>
      </c>
      <c r="B123" s="33">
        <f>MIN(podaci!D121:D170)</f>
        <v>92.66</v>
      </c>
      <c r="C123" s="33">
        <f>QUARTILE(podaci!D121:D170,1)</f>
        <v>95.177500000000009</v>
      </c>
      <c r="D123" s="33">
        <f>MEDIAN(podaci!D121:D170)</f>
        <v>95.789999999999992</v>
      </c>
      <c r="E123" s="33">
        <f>AVERAGE(podaci!D121:D170)</f>
        <v>95.670400000000015</v>
      </c>
      <c r="F123" s="33">
        <f>QUARTILE(podaci!D121:D170,3)</f>
        <v>96.17</v>
      </c>
      <c r="G123" s="33">
        <f>MAX(podaci!D121:D170)</f>
        <v>97.18</v>
      </c>
      <c r="H123">
        <f>STDEV(podaci!D121:D170)</f>
        <v>0.98853625040630022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spans="1:22" x14ac:dyDescent="0.35">
      <c r="A124" t="s">
        <v>32</v>
      </c>
      <c r="B124" s="33">
        <f>MIN(podaci!E121:E170)</f>
        <v>88.59</v>
      </c>
      <c r="C124" s="33">
        <f>QUARTILE(podaci!E121:E170,1)</f>
        <v>91.712500000000006</v>
      </c>
      <c r="D124" s="33">
        <f>MEDIAN(podaci!E121:E170)</f>
        <v>93.025000000000006</v>
      </c>
      <c r="E124" s="33">
        <f>AVERAGE(podaci!E121:E170)</f>
        <v>92.784400000000005</v>
      </c>
      <c r="F124" s="33">
        <f>QUARTILE(podaci!E121:E170,3)</f>
        <v>94.04</v>
      </c>
      <c r="G124" s="33">
        <f>MAX(podaci!E121:E170)</f>
        <v>96.05</v>
      </c>
      <c r="H124">
        <f>STDEV(podaci!E121:E170)</f>
        <v>1.6409680567473899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spans="1:22" x14ac:dyDescent="0.35">
      <c r="A125" t="s">
        <v>33</v>
      </c>
      <c r="B125" s="33">
        <f>MIN(podaci!F121:F170)</f>
        <v>78.78</v>
      </c>
      <c r="C125" s="33">
        <f>QUARTILE(podaci!F121:F170,1)</f>
        <v>84.245000000000005</v>
      </c>
      <c r="D125" s="33">
        <f>MEDIAN(podaci!F121:F170)</f>
        <v>86.89</v>
      </c>
      <c r="E125" s="33">
        <f>AVERAGE(podaci!F121:F170)</f>
        <v>86.529400000000024</v>
      </c>
      <c r="F125" s="33">
        <f>QUARTILE(podaci!F121:F170,3)</f>
        <v>89.284999999999997</v>
      </c>
      <c r="G125" s="33">
        <f>MAX(podaci!F121:F170)</f>
        <v>93.61</v>
      </c>
      <c r="H125">
        <f>STDEV(podaci!F121:F170)</f>
        <v>3.87035536521664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spans="1:22" x14ac:dyDescent="0.35">
      <c r="A126" t="s">
        <v>34</v>
      </c>
      <c r="B126" s="33">
        <f>MIN(podaci!I121:I170)</f>
        <v>-0.25999999999999091</v>
      </c>
      <c r="C126" s="33">
        <f>QUARTILE(podaci!I121:I170,1)</f>
        <v>3.2125000000000021</v>
      </c>
      <c r="D126" s="33">
        <f>MEDIAN(podaci!I121:I170)</f>
        <v>6.0749999999999957</v>
      </c>
      <c r="E126" s="33">
        <f>AVERAGE(podaci!I121:I170)</f>
        <v>6.2550000000000008</v>
      </c>
      <c r="F126" s="33">
        <f>QUARTILE(podaci!I121:I170,3)</f>
        <v>8.2349999999999959</v>
      </c>
      <c r="G126" s="33">
        <f>MAX(podaci!I121:I170)</f>
        <v>15.569999999999993</v>
      </c>
      <c r="H126">
        <f>STDEV(podaci!I121:I170)</f>
        <v>3.8657962455676449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spans="1:22" x14ac:dyDescent="0.35">
      <c r="A127" t="s">
        <v>35</v>
      </c>
      <c r="B127">
        <f>MIN(podaci!G121:G170)</f>
        <v>103.47199999999999</v>
      </c>
      <c r="C127">
        <f>QUARTILE(podaci!G121:G170,1)</f>
        <v>105.845</v>
      </c>
      <c r="D127">
        <f>MEDIAN(podaci!G121:G170)</f>
        <v>112.1825</v>
      </c>
      <c r="E127">
        <f>AVERAGE(podaci!G121:G170)</f>
        <v>127.22495999999997</v>
      </c>
      <c r="F127">
        <f>QUARTILE(podaci!G121:G170,3)</f>
        <v>123.72975000000001</v>
      </c>
      <c r="G127">
        <f>MAX(podaci!G121:G170)</f>
        <v>226.69499999999999</v>
      </c>
      <c r="H127">
        <f>STDEV(podaci!G121:G170)</f>
        <v>37.069237681453373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spans="1:22" x14ac:dyDescent="0.35">
      <c r="A128" t="s">
        <v>36</v>
      </c>
      <c r="B128">
        <f>MIN(podaci!H121:H170)</f>
        <v>0.887374</v>
      </c>
      <c r="C128">
        <f>QUARTILE(podaci!H121:H170,1)</f>
        <v>1.0017640000000001</v>
      </c>
      <c r="D128">
        <f>MEDIAN(podaci!H121:H170)</f>
        <v>1.155214</v>
      </c>
      <c r="E128">
        <f>AVERAGE(podaci!H121:H170)</f>
        <v>1.1620773999999998</v>
      </c>
      <c r="F128">
        <f>QUARTILE(podaci!H121:H170,3)</f>
        <v>1.2933189999999999</v>
      </c>
      <c r="G128">
        <f>MAX(podaci!H121:H170)</f>
        <v>1.554184</v>
      </c>
      <c r="H128">
        <f>STDEV(podaci!H121:H170)</f>
        <v>0.16140933319764109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spans="1:22" x14ac:dyDescent="0.35">
      <c r="A129" s="69" t="s">
        <v>103</v>
      </c>
      <c r="B129" s="6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spans="1:22" x14ac:dyDescent="0.35">
      <c r="A130" s="69"/>
      <c r="B130" s="6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spans="1:22" x14ac:dyDescent="0.3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spans="1:22" x14ac:dyDescent="0.3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spans="1:22" x14ac:dyDescent="0.3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spans="1:22" x14ac:dyDescent="0.3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spans="1:22" x14ac:dyDescent="0.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spans="1:22" x14ac:dyDescent="0.3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spans="1:22" x14ac:dyDescent="0.3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spans="1:22" x14ac:dyDescent="0.3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spans="1:22" x14ac:dyDescent="0.3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spans="1:22" x14ac:dyDescent="0.3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spans="1:22" x14ac:dyDescent="0.3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spans="1:22" x14ac:dyDescent="0.3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spans="1:22" x14ac:dyDescent="0.3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spans="1:22" x14ac:dyDescent="0.3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spans="1:22" x14ac:dyDescent="0.3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spans="1:22" x14ac:dyDescent="0.3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spans="1:22" x14ac:dyDescent="0.3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spans="1:22" x14ac:dyDescent="0.3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spans="1:22" x14ac:dyDescent="0.3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spans="1:22" x14ac:dyDescent="0.3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spans="1:22" x14ac:dyDescent="0.3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spans="1:22" x14ac:dyDescent="0.3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spans="1:22" x14ac:dyDescent="0.3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spans="1:22" x14ac:dyDescent="0.3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spans="1:22" x14ac:dyDescent="0.3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spans="1:22" x14ac:dyDescent="0.3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spans="1:22" x14ac:dyDescent="0.3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spans="1:22" x14ac:dyDescent="0.3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spans="1:22" x14ac:dyDescent="0.3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spans="1:22" x14ac:dyDescent="0.3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spans="1:22" x14ac:dyDescent="0.3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spans="1:22" x14ac:dyDescent="0.3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spans="1:22" x14ac:dyDescent="0.3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spans="1:22" x14ac:dyDescent="0.35">
      <c r="A164" s="30"/>
      <c r="B164" s="22"/>
      <c r="C164" s="22"/>
      <c r="D164" s="22"/>
      <c r="E164" s="22"/>
      <c r="F164" s="22"/>
      <c r="G164" s="18"/>
      <c r="H164" s="30"/>
      <c r="I164" s="22"/>
      <c r="J164" s="22"/>
      <c r="K164" s="22"/>
      <c r="L164" s="22"/>
      <c r="M164" s="22"/>
      <c r="N164" s="18"/>
      <c r="O164" s="18"/>
      <c r="P164" s="18"/>
      <c r="Q164" s="18"/>
      <c r="R164" s="18"/>
      <c r="S164" s="18"/>
      <c r="T164" s="18"/>
      <c r="U164" s="18"/>
      <c r="V164" s="18"/>
    </row>
    <row r="165" spans="1:22" x14ac:dyDescent="0.35">
      <c r="A165" s="30"/>
      <c r="B165" s="22"/>
      <c r="C165" s="22"/>
      <c r="D165" s="22"/>
      <c r="E165" s="22"/>
      <c r="F165" s="22"/>
      <c r="G165" s="18"/>
      <c r="H165" s="30"/>
      <c r="I165" s="22"/>
      <c r="J165" s="22"/>
      <c r="K165" s="22"/>
      <c r="L165" s="22"/>
      <c r="M165" s="22"/>
      <c r="N165" s="18"/>
      <c r="O165" s="18"/>
      <c r="P165" s="18"/>
      <c r="Q165" s="18"/>
      <c r="R165" s="18"/>
      <c r="S165" s="18"/>
      <c r="T165" s="18"/>
      <c r="U165" s="18"/>
      <c r="V165" s="18"/>
    </row>
  </sheetData>
  <mergeCells count="3">
    <mergeCell ref="A10:B11"/>
    <mergeCell ref="A70:B71"/>
    <mergeCell ref="A129:B130"/>
  </mergeCells>
  <phoneticPr fontId="7" type="noConversion"/>
  <pageMargins left="0.75" right="0.75" top="1" bottom="1" header="0.5" footer="0.5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8"/>
  <sheetViews>
    <sheetView topLeftCell="A135" workbookViewId="0">
      <selection activeCell="A6" sqref="A6:B7"/>
    </sheetView>
  </sheetViews>
  <sheetFormatPr defaultRowHeight="14.5" x14ac:dyDescent="0.35"/>
  <cols>
    <col min="1" max="1" width="18" customWidth="1"/>
    <col min="2" max="7" width="12" customWidth="1"/>
  </cols>
  <sheetData>
    <row r="1" spans="1:7" x14ac:dyDescent="0.35">
      <c r="A1" s="6" t="s">
        <v>37</v>
      </c>
      <c r="B1" s="6" t="s">
        <v>25</v>
      </c>
      <c r="C1" s="6" t="s">
        <v>22</v>
      </c>
      <c r="D1" s="6" t="s">
        <v>23</v>
      </c>
      <c r="E1" s="6" t="s">
        <v>24</v>
      </c>
      <c r="F1" s="6" t="s">
        <v>26</v>
      </c>
      <c r="G1" s="6" t="s">
        <v>27</v>
      </c>
    </row>
    <row r="2" spans="1:7" x14ac:dyDescent="0.35">
      <c r="A2" t="s">
        <v>38</v>
      </c>
      <c r="B2" s="33">
        <f>AVERAGE(podaci!C2:C51)</f>
        <v>97.750200000000063</v>
      </c>
      <c r="C2" s="33">
        <f>MIN(podaci!C2:C51)</f>
        <v>97.4</v>
      </c>
      <c r="D2" s="33">
        <f>QUARTILE(podaci!C2:C51,1)</f>
        <v>97.77</v>
      </c>
      <c r="E2" s="33">
        <f>MEDIAN(podaci!C2:C51)</f>
        <v>97.77</v>
      </c>
      <c r="F2" s="33">
        <f>QUARTILE(podaci!C2:C51,3)</f>
        <v>97.77</v>
      </c>
      <c r="G2" s="33">
        <f>MAX(podaci!C2:C51)</f>
        <v>97.77</v>
      </c>
    </row>
    <row r="3" spans="1:7" x14ac:dyDescent="0.35">
      <c r="A3" t="s">
        <v>39</v>
      </c>
      <c r="B3" s="33">
        <f>AVERAGE(podaci!D2:D51)</f>
        <v>96.353400000000008</v>
      </c>
      <c r="C3" s="33">
        <f>MIN(podaci!D2:D51)</f>
        <v>95.56</v>
      </c>
      <c r="D3" s="33">
        <f>QUARTILE(podaci!D2:D51,1)</f>
        <v>96.012500000000003</v>
      </c>
      <c r="E3" s="33">
        <f>MEDIAN(podaci!D2:D51)</f>
        <v>96.454999999999998</v>
      </c>
      <c r="F3" s="33">
        <f>QUARTILE(podaci!D2:D51,3)</f>
        <v>96.75</v>
      </c>
      <c r="G3" s="33">
        <f>MAX(podaci!D2:D51)</f>
        <v>96.89</v>
      </c>
    </row>
    <row r="4" spans="1:7" x14ac:dyDescent="0.35">
      <c r="A4" t="s">
        <v>40</v>
      </c>
      <c r="B4" s="33">
        <f>AVERAGE(podaci!E2:E51)</f>
        <v>94.525399999999991</v>
      </c>
      <c r="C4" s="33">
        <f>MIN(podaci!E2:E51)</f>
        <v>91.99</v>
      </c>
      <c r="D4" s="33">
        <f>QUARTILE(podaci!E2:E51,1)</f>
        <v>93.974999999999994</v>
      </c>
      <c r="E4" s="33">
        <f>MEDIAN(podaci!E2:E51)</f>
        <v>94.525000000000006</v>
      </c>
      <c r="F4" s="33">
        <f>QUARTILE(podaci!E2:E51,3)</f>
        <v>95.13</v>
      </c>
      <c r="G4" s="33">
        <f>MAX(podaci!E2:E51)</f>
        <v>96.89</v>
      </c>
    </row>
    <row r="5" spans="1:7" x14ac:dyDescent="0.35">
      <c r="A5" t="s">
        <v>41</v>
      </c>
      <c r="B5" s="33">
        <f>AVERAGE(podaci!F2:F51)</f>
        <v>85.332000000000008</v>
      </c>
      <c r="C5" s="33">
        <f>MIN(podaci!F2:F51)</f>
        <v>73.59</v>
      </c>
      <c r="D5" s="33">
        <f>QUARTILE(podaci!F2:F51,1)</f>
        <v>80.569999999999993</v>
      </c>
      <c r="E5" s="33">
        <f>MEDIAN(podaci!F2:F51)</f>
        <v>86.39</v>
      </c>
      <c r="F5" s="33">
        <f>QUARTILE(podaci!F2:F51,3)</f>
        <v>88.914999999999992</v>
      </c>
      <c r="G5" s="33">
        <f>MAX(podaci!F2:F51)</f>
        <v>94.16</v>
      </c>
    </row>
    <row r="6" spans="1:7" x14ac:dyDescent="0.35">
      <c r="A6" s="69" t="s">
        <v>98</v>
      </c>
      <c r="B6" s="69"/>
      <c r="C6" s="19"/>
      <c r="D6" s="19"/>
      <c r="E6" s="19"/>
      <c r="F6" s="19"/>
      <c r="G6" s="19"/>
    </row>
    <row r="7" spans="1:7" x14ac:dyDescent="0.35">
      <c r="A7" s="69"/>
      <c r="B7" s="69"/>
      <c r="C7" s="19"/>
      <c r="D7" s="19"/>
      <c r="E7" s="19"/>
      <c r="F7" s="19"/>
      <c r="G7" s="19"/>
    </row>
    <row r="8" spans="1:7" x14ac:dyDescent="0.35">
      <c r="A8" s="19"/>
      <c r="B8" s="19"/>
      <c r="C8" s="19"/>
      <c r="D8" s="19"/>
      <c r="E8" s="19"/>
      <c r="F8" s="19"/>
      <c r="G8" s="19"/>
    </row>
    <row r="9" spans="1:7" x14ac:dyDescent="0.35">
      <c r="A9" s="19"/>
      <c r="B9" s="19"/>
      <c r="C9" s="19"/>
      <c r="D9" s="19"/>
      <c r="E9" s="19"/>
      <c r="F9" s="19"/>
      <c r="G9" s="19"/>
    </row>
    <row r="10" spans="1:7" x14ac:dyDescent="0.35">
      <c r="A10" s="19"/>
      <c r="B10" s="19"/>
      <c r="C10" s="19"/>
      <c r="D10" s="19"/>
      <c r="E10" s="19"/>
      <c r="F10" s="19"/>
      <c r="G10" s="19"/>
    </row>
    <row r="11" spans="1:7" x14ac:dyDescent="0.35">
      <c r="A11" s="19"/>
      <c r="B11" s="19"/>
      <c r="C11" s="19"/>
      <c r="D11" s="19"/>
      <c r="E11" s="19"/>
      <c r="F11" s="19"/>
      <c r="G11" s="19"/>
    </row>
    <row r="12" spans="1:7" x14ac:dyDescent="0.35">
      <c r="A12" s="19"/>
      <c r="B12" s="19"/>
      <c r="C12" s="19"/>
      <c r="D12" s="19"/>
      <c r="E12" s="19"/>
      <c r="F12" s="19"/>
      <c r="G12" s="19"/>
    </row>
    <row r="13" spans="1:7" x14ac:dyDescent="0.35">
      <c r="A13" s="19"/>
      <c r="B13" s="19"/>
      <c r="C13" s="19"/>
      <c r="D13" s="19"/>
      <c r="E13" s="19"/>
      <c r="F13" s="19"/>
      <c r="G13" s="19"/>
    </row>
    <row r="14" spans="1:7" x14ac:dyDescent="0.35">
      <c r="A14" s="19"/>
      <c r="B14" s="19"/>
      <c r="C14" s="19"/>
      <c r="D14" s="19"/>
      <c r="E14" s="19"/>
      <c r="F14" s="19"/>
      <c r="G14" s="19"/>
    </row>
    <row r="15" spans="1:7" x14ac:dyDescent="0.35">
      <c r="A15" s="19"/>
      <c r="B15" s="19"/>
      <c r="C15" s="19"/>
      <c r="D15" s="19"/>
      <c r="E15" s="19"/>
      <c r="F15" s="19"/>
      <c r="G15" s="19"/>
    </row>
    <row r="16" spans="1:7" x14ac:dyDescent="0.35">
      <c r="A16" s="19"/>
      <c r="B16" s="19"/>
      <c r="C16" s="19"/>
      <c r="D16" s="19"/>
      <c r="E16" s="19"/>
      <c r="F16" s="19"/>
      <c r="G16" s="19"/>
    </row>
    <row r="17" spans="1:7" x14ac:dyDescent="0.35">
      <c r="A17" s="19"/>
      <c r="B17" s="19"/>
      <c r="C17" s="19"/>
      <c r="D17" s="19"/>
      <c r="E17" s="19"/>
      <c r="F17" s="19"/>
      <c r="G17" s="19"/>
    </row>
    <row r="18" spans="1:7" x14ac:dyDescent="0.35">
      <c r="A18" s="19"/>
      <c r="B18" s="19"/>
      <c r="C18" s="19"/>
      <c r="D18" s="19"/>
      <c r="E18" s="19"/>
      <c r="F18" s="19"/>
      <c r="G18" s="19"/>
    </row>
    <row r="19" spans="1:7" x14ac:dyDescent="0.35">
      <c r="A19" s="19"/>
      <c r="B19" s="19"/>
      <c r="C19" s="19"/>
      <c r="D19" s="19"/>
      <c r="E19" s="19"/>
      <c r="F19" s="19"/>
      <c r="G19" s="19"/>
    </row>
    <row r="20" spans="1:7" x14ac:dyDescent="0.35">
      <c r="A20" s="19"/>
      <c r="B20" s="19"/>
      <c r="C20" s="19"/>
      <c r="D20" s="19"/>
      <c r="E20" s="19"/>
      <c r="F20" s="19"/>
      <c r="G20" s="19"/>
    </row>
    <row r="21" spans="1:7" x14ac:dyDescent="0.35">
      <c r="A21" s="19"/>
      <c r="B21" s="19"/>
      <c r="C21" s="19"/>
      <c r="D21" s="19"/>
      <c r="E21" s="19"/>
      <c r="F21" s="19"/>
      <c r="G21" s="19"/>
    </row>
    <row r="22" spans="1:7" x14ac:dyDescent="0.35">
      <c r="A22" s="19"/>
      <c r="B22" s="19"/>
      <c r="C22" s="19"/>
      <c r="D22" s="19"/>
      <c r="E22" s="19"/>
      <c r="F22" s="19"/>
      <c r="G22" s="19"/>
    </row>
    <row r="23" spans="1:7" x14ac:dyDescent="0.35">
      <c r="A23" s="19"/>
      <c r="B23" s="19"/>
      <c r="C23" s="19"/>
      <c r="D23" s="19"/>
      <c r="E23" s="19"/>
      <c r="F23" s="19"/>
      <c r="G23" s="19"/>
    </row>
    <row r="24" spans="1:7" x14ac:dyDescent="0.35">
      <c r="A24" s="19"/>
      <c r="B24" s="19"/>
      <c r="C24" s="19"/>
      <c r="D24" s="19"/>
      <c r="E24" s="19"/>
      <c r="F24" s="19"/>
      <c r="G24" s="19"/>
    </row>
    <row r="25" spans="1:7" x14ac:dyDescent="0.35">
      <c r="A25" s="19"/>
      <c r="B25" s="19"/>
      <c r="C25" s="19"/>
      <c r="D25" s="19"/>
      <c r="E25" s="19"/>
      <c r="F25" s="19"/>
      <c r="G25" s="19"/>
    </row>
    <row r="26" spans="1:7" x14ac:dyDescent="0.35">
      <c r="A26" s="19"/>
      <c r="B26" s="19"/>
      <c r="C26" s="19"/>
      <c r="D26" s="19"/>
      <c r="E26" s="19"/>
      <c r="F26" s="19"/>
      <c r="G26" s="19"/>
    </row>
    <row r="27" spans="1:7" x14ac:dyDescent="0.35">
      <c r="A27" s="19"/>
      <c r="B27" s="19"/>
      <c r="C27" s="19"/>
      <c r="D27" s="19"/>
      <c r="E27" s="19"/>
      <c r="F27" s="19"/>
      <c r="G27" s="19"/>
    </row>
    <row r="28" spans="1:7" x14ac:dyDescent="0.35">
      <c r="A28" s="19"/>
      <c r="B28" s="19"/>
      <c r="C28" s="19"/>
      <c r="D28" s="19"/>
      <c r="E28" s="19"/>
      <c r="F28" s="19"/>
      <c r="G28" s="19"/>
    </row>
    <row r="29" spans="1:7" x14ac:dyDescent="0.35">
      <c r="A29" s="19"/>
      <c r="B29" s="19"/>
      <c r="C29" s="19"/>
      <c r="D29" s="19"/>
      <c r="E29" s="19"/>
      <c r="F29" s="19"/>
      <c r="G29" s="19"/>
    </row>
    <row r="30" spans="1:7" x14ac:dyDescent="0.35">
      <c r="A30" s="19"/>
      <c r="B30" s="19"/>
      <c r="C30" s="19"/>
      <c r="D30" s="19"/>
      <c r="E30" s="19"/>
      <c r="F30" s="19"/>
      <c r="G30" s="19"/>
    </row>
    <row r="31" spans="1:7" x14ac:dyDescent="0.35">
      <c r="A31" s="19"/>
      <c r="B31" s="19"/>
      <c r="C31" s="19"/>
      <c r="D31" s="19"/>
      <c r="E31" s="19"/>
      <c r="F31" s="19"/>
      <c r="G31" s="19"/>
    </row>
    <row r="32" spans="1:7" x14ac:dyDescent="0.35">
      <c r="A32" s="19"/>
      <c r="B32" s="19"/>
      <c r="C32" s="19"/>
      <c r="D32" s="19"/>
      <c r="E32" s="19"/>
      <c r="F32" s="19"/>
      <c r="G32" s="19"/>
    </row>
    <row r="33" spans="1:7" x14ac:dyDescent="0.35">
      <c r="A33" s="19"/>
      <c r="B33" s="19"/>
      <c r="C33" s="19"/>
      <c r="D33" s="19"/>
      <c r="E33" s="19"/>
      <c r="F33" s="19"/>
      <c r="G33" s="19"/>
    </row>
    <row r="34" spans="1:7" x14ac:dyDescent="0.35">
      <c r="A34" s="19"/>
      <c r="B34" s="19"/>
      <c r="C34" s="19"/>
      <c r="D34" s="19"/>
      <c r="E34" s="19"/>
      <c r="F34" s="19"/>
      <c r="G34" s="19"/>
    </row>
    <row r="35" spans="1:7" x14ac:dyDescent="0.35">
      <c r="A35" s="19"/>
      <c r="B35" s="19"/>
      <c r="C35" s="19"/>
      <c r="D35" s="19"/>
      <c r="E35" s="19"/>
      <c r="F35" s="19"/>
      <c r="G35" s="19"/>
    </row>
    <row r="36" spans="1:7" x14ac:dyDescent="0.35">
      <c r="A36" s="19"/>
      <c r="B36" s="19"/>
      <c r="C36" s="19"/>
      <c r="D36" s="19"/>
      <c r="E36" s="19"/>
      <c r="F36" s="19"/>
      <c r="G36" s="19"/>
    </row>
    <row r="37" spans="1:7" x14ac:dyDescent="0.35">
      <c r="A37" s="19"/>
      <c r="B37" s="19"/>
      <c r="C37" s="19"/>
      <c r="D37" s="19"/>
      <c r="E37" s="19"/>
      <c r="F37" s="19"/>
      <c r="G37" s="19"/>
    </row>
    <row r="38" spans="1:7" x14ac:dyDescent="0.35">
      <c r="A38" s="19"/>
      <c r="B38" s="19"/>
      <c r="C38" s="19"/>
      <c r="D38" s="19"/>
      <c r="E38" s="19"/>
      <c r="F38" s="19"/>
      <c r="G38" s="19"/>
    </row>
    <row r="39" spans="1:7" x14ac:dyDescent="0.35">
      <c r="A39" s="19"/>
      <c r="B39" s="19"/>
      <c r="C39" s="19"/>
      <c r="D39" s="19"/>
      <c r="E39" s="19"/>
      <c r="F39" s="19"/>
      <c r="G39" s="19"/>
    </row>
    <row r="40" spans="1:7" x14ac:dyDescent="0.35">
      <c r="A40" s="19"/>
      <c r="B40" s="19"/>
      <c r="C40" s="19"/>
      <c r="D40" s="19"/>
      <c r="E40" s="19"/>
      <c r="F40" s="19"/>
      <c r="G40" s="19"/>
    </row>
    <row r="41" spans="1:7" x14ac:dyDescent="0.35">
      <c r="A41" s="19"/>
      <c r="B41" s="19"/>
      <c r="C41" s="19"/>
      <c r="D41" s="19"/>
      <c r="E41" s="19"/>
      <c r="F41" s="19"/>
      <c r="G41" s="19"/>
    </row>
    <row r="42" spans="1:7" x14ac:dyDescent="0.35">
      <c r="A42" s="19"/>
      <c r="B42" s="19"/>
      <c r="C42" s="19"/>
      <c r="D42" s="19"/>
      <c r="E42" s="19"/>
      <c r="F42" s="19"/>
      <c r="G42" s="19"/>
    </row>
    <row r="43" spans="1:7" x14ac:dyDescent="0.35">
      <c r="A43" s="19"/>
      <c r="B43" s="19"/>
      <c r="C43" s="19"/>
      <c r="D43" s="19"/>
      <c r="E43" s="19"/>
      <c r="F43" s="19"/>
      <c r="G43" s="19"/>
    </row>
    <row r="44" spans="1:7" x14ac:dyDescent="0.35">
      <c r="A44" s="19"/>
      <c r="B44" s="19"/>
      <c r="C44" s="19"/>
      <c r="D44" s="19"/>
      <c r="E44" s="19"/>
      <c r="F44" s="19"/>
      <c r="G44" s="19"/>
    </row>
    <row r="45" spans="1:7" x14ac:dyDescent="0.35">
      <c r="A45" s="19"/>
      <c r="B45" s="19"/>
      <c r="C45" s="19"/>
      <c r="D45" s="19"/>
      <c r="E45" s="19"/>
      <c r="F45" s="19"/>
      <c r="G45" s="19"/>
    </row>
    <row r="46" spans="1:7" x14ac:dyDescent="0.35">
      <c r="A46" s="19"/>
      <c r="B46" s="19"/>
      <c r="C46" s="19"/>
      <c r="D46" s="19"/>
      <c r="E46" s="19"/>
      <c r="F46" s="19"/>
      <c r="G46" s="19"/>
    </row>
    <row r="47" spans="1:7" x14ac:dyDescent="0.35">
      <c r="A47" s="19"/>
      <c r="B47" s="19"/>
      <c r="C47" s="19"/>
      <c r="D47" s="19"/>
      <c r="E47" s="19"/>
      <c r="F47" s="19"/>
      <c r="G47" s="19"/>
    </row>
    <row r="48" spans="1:7" x14ac:dyDescent="0.35">
      <c r="A48" s="19"/>
      <c r="B48" s="19"/>
      <c r="C48" s="19"/>
      <c r="D48" s="19"/>
      <c r="E48" s="19"/>
      <c r="F48" s="19"/>
      <c r="G48" s="19"/>
    </row>
    <row r="49" spans="1:7" x14ac:dyDescent="0.35">
      <c r="A49" s="19"/>
      <c r="B49" s="19"/>
      <c r="C49" s="19"/>
      <c r="D49" s="19"/>
      <c r="E49" s="19"/>
      <c r="F49" s="19"/>
      <c r="G49" s="19"/>
    </row>
    <row r="50" spans="1:7" x14ac:dyDescent="0.35">
      <c r="A50" s="19"/>
      <c r="B50" s="19"/>
      <c r="C50" s="19"/>
      <c r="D50" s="19"/>
      <c r="E50" s="19"/>
      <c r="F50" s="19"/>
      <c r="G50" s="19"/>
    </row>
    <row r="51" spans="1:7" x14ac:dyDescent="0.35">
      <c r="A51" s="19"/>
      <c r="B51" s="19"/>
      <c r="C51" s="19"/>
      <c r="D51" s="19"/>
      <c r="E51" s="19"/>
      <c r="F51" s="19"/>
      <c r="G51" s="19"/>
    </row>
    <row r="52" spans="1:7" x14ac:dyDescent="0.35">
      <c r="A52" s="19"/>
      <c r="B52" s="19"/>
      <c r="C52" s="19"/>
      <c r="D52" s="19"/>
      <c r="E52" s="19"/>
      <c r="F52" s="19"/>
      <c r="G52" s="19"/>
    </row>
    <row r="53" spans="1:7" x14ac:dyDescent="0.35">
      <c r="A53" s="19"/>
      <c r="B53" s="19"/>
      <c r="C53" s="19"/>
      <c r="D53" s="19"/>
      <c r="E53" s="19"/>
      <c r="F53" s="19"/>
      <c r="G53" s="19"/>
    </row>
    <row r="54" spans="1:7" x14ac:dyDescent="0.35">
      <c r="A54" s="19"/>
      <c r="B54" s="19"/>
      <c r="C54" s="19"/>
      <c r="D54" s="19"/>
      <c r="E54" s="19"/>
      <c r="F54" s="19"/>
      <c r="G54" s="19"/>
    </row>
    <row r="55" spans="1:7" x14ac:dyDescent="0.35">
      <c r="A55" s="19"/>
      <c r="B55" s="19"/>
      <c r="C55" s="19"/>
      <c r="D55" s="19"/>
      <c r="E55" s="19"/>
      <c r="F55" s="19"/>
      <c r="G55" s="19"/>
    </row>
    <row r="56" spans="1:7" x14ac:dyDescent="0.35">
      <c r="A56" s="19"/>
      <c r="B56" s="19"/>
      <c r="C56" s="19"/>
      <c r="D56" s="19"/>
      <c r="E56" s="19"/>
      <c r="F56" s="19"/>
      <c r="G56" s="19"/>
    </row>
    <row r="57" spans="1:7" x14ac:dyDescent="0.35">
      <c r="A57" s="19"/>
      <c r="B57" s="19"/>
      <c r="C57" s="19"/>
      <c r="D57" s="19"/>
      <c r="E57" s="19"/>
      <c r="F57" s="19"/>
      <c r="G57" s="19"/>
    </row>
    <row r="58" spans="1:7" x14ac:dyDescent="0.35">
      <c r="A58" s="19"/>
      <c r="B58" s="19"/>
      <c r="C58" s="19"/>
      <c r="D58" s="19"/>
      <c r="E58" s="19"/>
      <c r="F58" s="19"/>
      <c r="G58" s="19"/>
    </row>
    <row r="59" spans="1:7" x14ac:dyDescent="0.35">
      <c r="A59" s="19"/>
      <c r="B59" s="19"/>
      <c r="C59" s="19"/>
      <c r="D59" s="19"/>
      <c r="E59" s="19"/>
      <c r="F59" s="19"/>
      <c r="G59" s="19"/>
    </row>
    <row r="60" spans="1:7" x14ac:dyDescent="0.35">
      <c r="A60" s="19"/>
      <c r="B60" s="19"/>
      <c r="C60" s="19"/>
      <c r="D60" s="19"/>
      <c r="E60" s="19"/>
      <c r="F60" s="19"/>
      <c r="G60" s="19"/>
    </row>
    <row r="61" spans="1:7" x14ac:dyDescent="0.35">
      <c r="A61" s="6" t="s">
        <v>37</v>
      </c>
      <c r="B61" s="6" t="s">
        <v>25</v>
      </c>
      <c r="C61" s="6" t="s">
        <v>22</v>
      </c>
      <c r="D61" s="6" t="s">
        <v>23</v>
      </c>
      <c r="E61" s="6" t="s">
        <v>24</v>
      </c>
      <c r="F61" s="6" t="s">
        <v>26</v>
      </c>
      <c r="G61" s="6" t="s">
        <v>27</v>
      </c>
    </row>
    <row r="62" spans="1:7" x14ac:dyDescent="0.35">
      <c r="A62" t="s">
        <v>38</v>
      </c>
      <c r="B62" s="33">
        <f>AVERAGE(podaci!C62:C111)</f>
        <v>96.24160000000002</v>
      </c>
      <c r="C62" s="33">
        <f>MIN(podaci!C62:C111)</f>
        <v>93.99</v>
      </c>
      <c r="D62" s="33">
        <f>QUARTILE(podaci!C62:C111,1)</f>
        <v>95.33</v>
      </c>
      <c r="E62" s="33">
        <f>MEDIAN(podaci!C62:C111)</f>
        <v>96.545000000000002</v>
      </c>
      <c r="F62" s="33">
        <f>QUARTILE(podaci!C62:C111,3)</f>
        <v>97.137500000000003</v>
      </c>
      <c r="G62" s="33">
        <f>MAX(podaci!C62:C111)</f>
        <v>97.42</v>
      </c>
    </row>
    <row r="63" spans="1:7" x14ac:dyDescent="0.35">
      <c r="A63" t="s">
        <v>39</v>
      </c>
      <c r="B63" s="33">
        <f>AVERAGE(podaci!D62:D111)</f>
        <v>95.576000000000022</v>
      </c>
      <c r="C63" s="33">
        <f>MIN(podaci!D62:D111)</f>
        <v>93.53</v>
      </c>
      <c r="D63" s="33">
        <f>QUARTILE(podaci!D62:D111,1)</f>
        <v>94.84</v>
      </c>
      <c r="E63" s="33">
        <f>MEDIAN(podaci!D62:D111)</f>
        <v>95.8</v>
      </c>
      <c r="F63" s="33">
        <f>QUARTILE(podaci!D62:D111,3)</f>
        <v>96.222499999999997</v>
      </c>
      <c r="G63" s="33">
        <f>MAX(podaci!D62:D111)</f>
        <v>97.05</v>
      </c>
    </row>
    <row r="64" spans="1:7" x14ac:dyDescent="0.35">
      <c r="A64" t="s">
        <v>40</v>
      </c>
      <c r="B64" s="33">
        <f>AVERAGE(podaci!E62:E111)</f>
        <v>93.228799999999993</v>
      </c>
      <c r="C64" s="33">
        <f>MIN(podaci!E62:E111)</f>
        <v>89.71</v>
      </c>
      <c r="D64" s="33">
        <f>QUARTILE(podaci!E62:E111,1)</f>
        <v>92.427499999999995</v>
      </c>
      <c r="E64" s="33">
        <f>MEDIAN(podaci!E62:E111)</f>
        <v>93.254999999999995</v>
      </c>
      <c r="F64" s="33">
        <f>QUARTILE(podaci!E62:E111,3)</f>
        <v>94.34</v>
      </c>
      <c r="G64" s="33">
        <f>MAX(podaci!E62:E111)</f>
        <v>96.13</v>
      </c>
    </row>
    <row r="65" spans="1:7" x14ac:dyDescent="0.35">
      <c r="A65" t="s">
        <v>41</v>
      </c>
      <c r="B65" s="33">
        <f>AVERAGE(podaci!F62:F111)</f>
        <v>85.601799999999997</v>
      </c>
      <c r="C65" s="33">
        <f>MIN(podaci!F62:F111)</f>
        <v>76.930000000000007</v>
      </c>
      <c r="D65" s="33">
        <f>QUARTILE(podaci!F62:F111,1)</f>
        <v>82.935000000000002</v>
      </c>
      <c r="E65" s="33">
        <f>MEDIAN(podaci!F62:F111)</f>
        <v>85.865000000000009</v>
      </c>
      <c r="F65" s="33">
        <f>QUARTILE(podaci!F62:F111,3)</f>
        <v>88.21</v>
      </c>
      <c r="G65" s="33">
        <f>MAX(podaci!F62:F111)</f>
        <v>92.66</v>
      </c>
    </row>
    <row r="66" spans="1:7" x14ac:dyDescent="0.35">
      <c r="A66" s="69" t="s">
        <v>102</v>
      </c>
      <c r="B66" s="69"/>
      <c r="C66" s="19"/>
      <c r="D66" s="19"/>
      <c r="E66" s="19"/>
      <c r="F66" s="19"/>
      <c r="G66" s="19"/>
    </row>
    <row r="67" spans="1:7" x14ac:dyDescent="0.35">
      <c r="A67" s="69"/>
      <c r="B67" s="69"/>
      <c r="C67" s="19"/>
      <c r="D67" s="19"/>
      <c r="E67" s="19"/>
      <c r="F67" s="19"/>
      <c r="G67" s="19"/>
    </row>
    <row r="68" spans="1:7" x14ac:dyDescent="0.35">
      <c r="A68" s="19"/>
      <c r="B68" s="19"/>
      <c r="C68" s="19"/>
      <c r="D68" s="19"/>
      <c r="E68" s="19"/>
      <c r="F68" s="19"/>
      <c r="G68" s="19"/>
    </row>
    <row r="69" spans="1:7" x14ac:dyDescent="0.35">
      <c r="A69" s="19"/>
      <c r="B69" s="19"/>
      <c r="C69" s="19"/>
      <c r="D69" s="19"/>
      <c r="E69" s="19"/>
      <c r="F69" s="19"/>
      <c r="G69" s="19"/>
    </row>
    <row r="70" spans="1:7" x14ac:dyDescent="0.35">
      <c r="A70" s="19"/>
      <c r="B70" s="19"/>
      <c r="C70" s="19"/>
      <c r="D70" s="19"/>
      <c r="E70" s="19"/>
      <c r="F70" s="19"/>
      <c r="G70" s="19"/>
    </row>
    <row r="71" spans="1:7" x14ac:dyDescent="0.35">
      <c r="A71" s="19"/>
      <c r="B71" s="19"/>
      <c r="C71" s="19"/>
      <c r="D71" s="19"/>
      <c r="E71" s="19"/>
      <c r="F71" s="19"/>
      <c r="G71" s="19"/>
    </row>
    <row r="72" spans="1:7" x14ac:dyDescent="0.35">
      <c r="A72" s="19"/>
      <c r="B72" s="19"/>
      <c r="C72" s="19"/>
      <c r="D72" s="19"/>
      <c r="E72" s="19"/>
      <c r="F72" s="19"/>
      <c r="G72" s="19"/>
    </row>
    <row r="73" spans="1:7" x14ac:dyDescent="0.35">
      <c r="A73" s="19"/>
      <c r="B73" s="19"/>
      <c r="C73" s="19"/>
      <c r="D73" s="19"/>
      <c r="E73" s="19"/>
      <c r="F73" s="19"/>
      <c r="G73" s="19"/>
    </row>
    <row r="74" spans="1:7" x14ac:dyDescent="0.35">
      <c r="A74" s="19"/>
      <c r="B74" s="19"/>
      <c r="C74" s="19"/>
      <c r="D74" s="19"/>
      <c r="E74" s="19"/>
      <c r="F74" s="19"/>
      <c r="G74" s="19"/>
    </row>
    <row r="75" spans="1:7" x14ac:dyDescent="0.35">
      <c r="A75" s="19"/>
      <c r="B75" s="19"/>
      <c r="C75" s="19"/>
      <c r="D75" s="19"/>
      <c r="E75" s="19"/>
      <c r="F75" s="19"/>
      <c r="G75" s="19"/>
    </row>
    <row r="76" spans="1:7" x14ac:dyDescent="0.35">
      <c r="A76" s="19"/>
      <c r="B76" s="19"/>
      <c r="C76" s="19"/>
      <c r="D76" s="19"/>
      <c r="E76" s="19"/>
      <c r="F76" s="19"/>
      <c r="G76" s="19"/>
    </row>
    <row r="77" spans="1:7" x14ac:dyDescent="0.35">
      <c r="A77" s="19"/>
      <c r="B77" s="19"/>
      <c r="C77" s="19"/>
      <c r="D77" s="19"/>
      <c r="E77" s="19"/>
      <c r="F77" s="19"/>
      <c r="G77" s="19"/>
    </row>
    <row r="78" spans="1:7" x14ac:dyDescent="0.35">
      <c r="A78" s="19"/>
      <c r="B78" s="19"/>
      <c r="C78" s="19"/>
      <c r="D78" s="19"/>
      <c r="E78" s="19"/>
      <c r="F78" s="19"/>
      <c r="G78" s="19"/>
    </row>
    <row r="79" spans="1:7" x14ac:dyDescent="0.35">
      <c r="A79" s="19"/>
      <c r="B79" s="19"/>
      <c r="C79" s="19"/>
      <c r="D79" s="19"/>
      <c r="E79" s="19"/>
      <c r="F79" s="19"/>
      <c r="G79" s="19"/>
    </row>
    <row r="80" spans="1:7" x14ac:dyDescent="0.35">
      <c r="A80" s="19"/>
      <c r="B80" s="19"/>
      <c r="C80" s="19"/>
      <c r="D80" s="19"/>
      <c r="E80" s="19"/>
      <c r="F80" s="19"/>
      <c r="G80" s="19"/>
    </row>
    <row r="81" spans="1:7" x14ac:dyDescent="0.35">
      <c r="A81" s="19"/>
      <c r="B81" s="19"/>
      <c r="C81" s="19"/>
      <c r="D81" s="19"/>
      <c r="E81" s="19"/>
      <c r="F81" s="19"/>
      <c r="G81" s="19"/>
    </row>
    <row r="82" spans="1:7" x14ac:dyDescent="0.35">
      <c r="A82" s="19"/>
      <c r="B82" s="19"/>
      <c r="C82" s="19"/>
      <c r="D82" s="19"/>
      <c r="E82" s="19"/>
      <c r="F82" s="19"/>
      <c r="G82" s="19"/>
    </row>
    <row r="83" spans="1:7" x14ac:dyDescent="0.35">
      <c r="A83" s="19"/>
      <c r="B83" s="19"/>
      <c r="C83" s="19"/>
      <c r="D83" s="19"/>
      <c r="E83" s="19"/>
      <c r="F83" s="19"/>
      <c r="G83" s="19"/>
    </row>
    <row r="84" spans="1:7" x14ac:dyDescent="0.35">
      <c r="A84" s="19"/>
      <c r="B84" s="19"/>
      <c r="C84" s="19"/>
      <c r="D84" s="19"/>
      <c r="E84" s="19"/>
      <c r="F84" s="19"/>
      <c r="G84" s="19"/>
    </row>
    <row r="85" spans="1:7" x14ac:dyDescent="0.35">
      <c r="A85" s="19"/>
      <c r="B85" s="19"/>
      <c r="C85" s="19"/>
      <c r="D85" s="19"/>
      <c r="E85" s="19"/>
      <c r="F85" s="19"/>
      <c r="G85" s="19"/>
    </row>
    <row r="86" spans="1:7" x14ac:dyDescent="0.35">
      <c r="A86" s="19"/>
      <c r="B86" s="19"/>
      <c r="C86" s="19"/>
      <c r="D86" s="19"/>
      <c r="E86" s="19"/>
      <c r="F86" s="19"/>
      <c r="G86" s="19"/>
    </row>
    <row r="87" spans="1:7" x14ac:dyDescent="0.35">
      <c r="A87" s="19"/>
      <c r="B87" s="19"/>
      <c r="C87" s="19"/>
      <c r="D87" s="19"/>
      <c r="E87" s="19"/>
      <c r="F87" s="19"/>
      <c r="G87" s="19"/>
    </row>
    <row r="88" spans="1:7" x14ac:dyDescent="0.35">
      <c r="A88" s="19"/>
      <c r="B88" s="19"/>
      <c r="C88" s="19"/>
      <c r="D88" s="19"/>
      <c r="E88" s="19"/>
      <c r="F88" s="19"/>
      <c r="G88" s="19"/>
    </row>
    <row r="89" spans="1:7" x14ac:dyDescent="0.35">
      <c r="A89" s="19"/>
      <c r="B89" s="19"/>
      <c r="C89" s="19"/>
      <c r="D89" s="19"/>
      <c r="E89" s="19"/>
      <c r="F89" s="19"/>
      <c r="G89" s="19"/>
    </row>
    <row r="90" spans="1:7" x14ac:dyDescent="0.35">
      <c r="A90" s="19"/>
      <c r="B90" s="19"/>
      <c r="C90" s="19"/>
      <c r="D90" s="19"/>
      <c r="E90" s="19"/>
      <c r="F90" s="19"/>
      <c r="G90" s="19"/>
    </row>
    <row r="91" spans="1:7" x14ac:dyDescent="0.35">
      <c r="A91" s="19"/>
      <c r="B91" s="19"/>
      <c r="C91" s="19"/>
      <c r="D91" s="19"/>
      <c r="E91" s="19"/>
      <c r="F91" s="19"/>
      <c r="G91" s="19"/>
    </row>
    <row r="92" spans="1:7" x14ac:dyDescent="0.35">
      <c r="A92" s="19"/>
      <c r="B92" s="19"/>
      <c r="C92" s="19"/>
      <c r="D92" s="19"/>
      <c r="E92" s="19"/>
      <c r="F92" s="19"/>
      <c r="G92" s="19"/>
    </row>
    <row r="93" spans="1:7" x14ac:dyDescent="0.35">
      <c r="A93" s="19"/>
      <c r="B93" s="19"/>
      <c r="C93" s="19"/>
      <c r="D93" s="19"/>
      <c r="E93" s="19"/>
      <c r="F93" s="19"/>
      <c r="G93" s="19"/>
    </row>
    <row r="94" spans="1:7" x14ac:dyDescent="0.35">
      <c r="A94" s="19"/>
      <c r="B94" s="19"/>
      <c r="C94" s="19"/>
      <c r="D94" s="19"/>
      <c r="E94" s="19"/>
      <c r="F94" s="19"/>
      <c r="G94" s="19"/>
    </row>
    <row r="95" spans="1:7" x14ac:dyDescent="0.35">
      <c r="A95" s="19"/>
      <c r="B95" s="19"/>
      <c r="C95" s="19"/>
      <c r="D95" s="19"/>
      <c r="E95" s="19"/>
      <c r="F95" s="19"/>
      <c r="G95" s="19"/>
    </row>
    <row r="96" spans="1:7" x14ac:dyDescent="0.35">
      <c r="A96" s="19"/>
      <c r="B96" s="19"/>
      <c r="C96" s="19"/>
      <c r="D96" s="19"/>
      <c r="E96" s="19"/>
      <c r="F96" s="19"/>
      <c r="G96" s="19"/>
    </row>
    <row r="97" spans="1:7" x14ac:dyDescent="0.35">
      <c r="A97" s="19"/>
      <c r="B97" s="19"/>
      <c r="C97" s="19"/>
      <c r="D97" s="19"/>
      <c r="E97" s="19"/>
      <c r="F97" s="19"/>
      <c r="G97" s="19"/>
    </row>
    <row r="98" spans="1:7" x14ac:dyDescent="0.35">
      <c r="A98" s="19"/>
      <c r="B98" s="19"/>
      <c r="C98" s="19"/>
      <c r="D98" s="19"/>
      <c r="E98" s="19"/>
      <c r="F98" s="19"/>
      <c r="G98" s="19"/>
    </row>
    <row r="99" spans="1:7" x14ac:dyDescent="0.35">
      <c r="A99" s="19"/>
      <c r="B99" s="19"/>
      <c r="C99" s="19"/>
      <c r="D99" s="19"/>
      <c r="E99" s="19"/>
      <c r="F99" s="19"/>
      <c r="G99" s="19"/>
    </row>
    <row r="100" spans="1:7" x14ac:dyDescent="0.35">
      <c r="A100" s="19"/>
      <c r="B100" s="19"/>
      <c r="C100" s="19"/>
      <c r="D100" s="19"/>
      <c r="E100" s="19"/>
      <c r="F100" s="19"/>
      <c r="G100" s="19"/>
    </row>
    <row r="101" spans="1:7" x14ac:dyDescent="0.35">
      <c r="A101" s="19"/>
      <c r="B101" s="19"/>
      <c r="C101" s="19"/>
      <c r="D101" s="19"/>
      <c r="E101" s="19"/>
      <c r="F101" s="19"/>
      <c r="G101" s="19"/>
    </row>
    <row r="102" spans="1:7" x14ac:dyDescent="0.35">
      <c r="A102" s="19"/>
      <c r="B102" s="19"/>
      <c r="C102" s="19"/>
      <c r="D102" s="19"/>
      <c r="E102" s="19"/>
      <c r="F102" s="19"/>
      <c r="G102" s="19"/>
    </row>
    <row r="103" spans="1:7" x14ac:dyDescent="0.35">
      <c r="A103" s="19"/>
      <c r="B103" s="19"/>
      <c r="C103" s="19"/>
      <c r="D103" s="19"/>
      <c r="E103" s="19"/>
      <c r="F103" s="19"/>
      <c r="G103" s="19"/>
    </row>
    <row r="104" spans="1:7" x14ac:dyDescent="0.35">
      <c r="A104" s="19"/>
      <c r="B104" s="19"/>
      <c r="C104" s="19"/>
      <c r="D104" s="19"/>
      <c r="E104" s="19"/>
      <c r="F104" s="19"/>
      <c r="G104" s="19"/>
    </row>
    <row r="105" spans="1:7" x14ac:dyDescent="0.35">
      <c r="A105" s="19"/>
      <c r="B105" s="19"/>
      <c r="C105" s="19"/>
      <c r="D105" s="19"/>
      <c r="E105" s="19"/>
      <c r="F105" s="19"/>
      <c r="G105" s="19"/>
    </row>
    <row r="106" spans="1:7" x14ac:dyDescent="0.35">
      <c r="A106" s="19"/>
      <c r="B106" s="19"/>
      <c r="C106" s="19"/>
      <c r="D106" s="19"/>
      <c r="E106" s="19"/>
      <c r="F106" s="19"/>
      <c r="G106" s="19"/>
    </row>
    <row r="107" spans="1:7" x14ac:dyDescent="0.35">
      <c r="A107" s="19"/>
      <c r="B107" s="19"/>
      <c r="C107" s="19"/>
      <c r="D107" s="19"/>
      <c r="E107" s="19"/>
      <c r="F107" s="19"/>
      <c r="G107" s="19"/>
    </row>
    <row r="108" spans="1:7" x14ac:dyDescent="0.35">
      <c r="A108" s="19"/>
      <c r="B108" s="19"/>
      <c r="C108" s="19"/>
      <c r="D108" s="19"/>
      <c r="E108" s="19"/>
      <c r="F108" s="19"/>
      <c r="G108" s="19"/>
    </row>
    <row r="109" spans="1:7" x14ac:dyDescent="0.35">
      <c r="A109" s="19"/>
      <c r="B109" s="19"/>
      <c r="C109" s="19"/>
      <c r="D109" s="19"/>
      <c r="E109" s="19"/>
      <c r="F109" s="19"/>
      <c r="G109" s="19"/>
    </row>
    <row r="110" spans="1:7" x14ac:dyDescent="0.35">
      <c r="A110" s="19"/>
      <c r="B110" s="19"/>
      <c r="C110" s="19"/>
      <c r="D110" s="19"/>
      <c r="E110" s="19"/>
      <c r="F110" s="19"/>
      <c r="G110" s="19"/>
    </row>
    <row r="111" spans="1:7" x14ac:dyDescent="0.35">
      <c r="A111" s="19"/>
      <c r="B111" s="19"/>
      <c r="C111" s="19"/>
      <c r="D111" s="19"/>
      <c r="E111" s="19"/>
      <c r="F111" s="19"/>
      <c r="G111" s="19"/>
    </row>
    <row r="112" spans="1:7" x14ac:dyDescent="0.35">
      <c r="A112" s="19"/>
      <c r="B112" s="19"/>
      <c r="C112" s="19"/>
      <c r="D112" s="19"/>
      <c r="E112" s="19"/>
      <c r="F112" s="19"/>
      <c r="G112" s="19"/>
    </row>
    <row r="113" spans="1:7" x14ac:dyDescent="0.35">
      <c r="A113" s="19"/>
      <c r="B113" s="19"/>
      <c r="C113" s="19"/>
      <c r="D113" s="19"/>
      <c r="E113" s="19"/>
      <c r="F113" s="19"/>
      <c r="G113" s="19"/>
    </row>
    <row r="114" spans="1:7" x14ac:dyDescent="0.35">
      <c r="A114" s="19"/>
      <c r="B114" s="19"/>
      <c r="C114" s="19"/>
      <c r="D114" s="19"/>
      <c r="E114" s="19"/>
      <c r="F114" s="19"/>
      <c r="G114" s="19"/>
    </row>
    <row r="115" spans="1:7" x14ac:dyDescent="0.35">
      <c r="A115" s="19"/>
      <c r="B115" s="19"/>
      <c r="C115" s="19"/>
      <c r="D115" s="19"/>
      <c r="E115" s="19"/>
      <c r="F115" s="19"/>
      <c r="G115" s="19"/>
    </row>
    <row r="116" spans="1:7" x14ac:dyDescent="0.35">
      <c r="A116" s="19"/>
      <c r="B116" s="19"/>
      <c r="C116" s="19"/>
      <c r="D116" s="19"/>
      <c r="E116" s="19"/>
      <c r="F116" s="19"/>
      <c r="G116" s="19"/>
    </row>
    <row r="117" spans="1:7" x14ac:dyDescent="0.35">
      <c r="A117" s="19"/>
      <c r="B117" s="19"/>
      <c r="C117" s="19"/>
      <c r="D117" s="19"/>
      <c r="E117" s="19"/>
      <c r="F117" s="19"/>
      <c r="G117" s="19"/>
    </row>
    <row r="118" spans="1:7" x14ac:dyDescent="0.35">
      <c r="A118" s="19"/>
      <c r="B118" s="19"/>
      <c r="C118" s="19"/>
      <c r="D118" s="19"/>
      <c r="E118" s="19"/>
      <c r="F118" s="19"/>
      <c r="G118" s="19"/>
    </row>
    <row r="119" spans="1:7" x14ac:dyDescent="0.35">
      <c r="A119" s="19"/>
      <c r="B119" s="19"/>
      <c r="C119" s="19"/>
      <c r="D119" s="19"/>
      <c r="E119" s="19"/>
      <c r="F119" s="19"/>
      <c r="G119" s="19"/>
    </row>
    <row r="120" spans="1:7" x14ac:dyDescent="0.35">
      <c r="A120" s="6" t="s">
        <v>37</v>
      </c>
      <c r="B120" s="6" t="s">
        <v>25</v>
      </c>
      <c r="C120" s="6" t="s">
        <v>22</v>
      </c>
      <c r="D120" s="6" t="s">
        <v>23</v>
      </c>
      <c r="E120" s="6" t="s">
        <v>24</v>
      </c>
      <c r="F120" s="6" t="s">
        <v>26</v>
      </c>
      <c r="G120" s="6" t="s">
        <v>27</v>
      </c>
    </row>
    <row r="121" spans="1:7" x14ac:dyDescent="0.35">
      <c r="A121" t="s">
        <v>38</v>
      </c>
      <c r="B121" s="33">
        <f>AVERAGE(podaci!C121:C170)</f>
        <v>96.884800000000055</v>
      </c>
      <c r="C121" s="33">
        <f>MIN(podaci!C121:C170)</f>
        <v>94.68</v>
      </c>
      <c r="D121" s="33">
        <f>QUARTILE(podaci!C121:C170,1)</f>
        <v>96.752499999999998</v>
      </c>
      <c r="E121" s="33">
        <f>MEDIAN(podaci!C121:C170)</f>
        <v>97.07</v>
      </c>
      <c r="F121" s="33">
        <f>QUARTILE(podaci!C121:C170,3)</f>
        <v>97.42</v>
      </c>
      <c r="G121" s="33">
        <f>MAX(podaci!C121:C170)</f>
        <v>97.62</v>
      </c>
    </row>
    <row r="122" spans="1:7" x14ac:dyDescent="0.35">
      <c r="A122" t="s">
        <v>39</v>
      </c>
      <c r="B122" s="33">
        <f>AVERAGE(podaci!D121:D170)</f>
        <v>95.670400000000015</v>
      </c>
      <c r="C122" s="33">
        <f>MIN(podaci!D121:D170)</f>
        <v>92.66</v>
      </c>
      <c r="D122" s="33">
        <f>QUARTILE(podaci!D121:D170,1)</f>
        <v>95.177500000000009</v>
      </c>
      <c r="E122" s="33">
        <f>MEDIAN(podaci!D121:D170)</f>
        <v>95.789999999999992</v>
      </c>
      <c r="F122" s="33">
        <f>QUARTILE(podaci!D121:D170,3)</f>
        <v>96.17</v>
      </c>
      <c r="G122" s="33">
        <f>MAX(podaci!D121:D170)</f>
        <v>97.18</v>
      </c>
    </row>
    <row r="123" spans="1:7" x14ac:dyDescent="0.35">
      <c r="A123" t="s">
        <v>40</v>
      </c>
      <c r="B123" s="33">
        <f>AVERAGE(podaci!E121:E170)</f>
        <v>92.784400000000005</v>
      </c>
      <c r="C123" s="33">
        <f>MIN(podaci!E121:E170)</f>
        <v>88.59</v>
      </c>
      <c r="D123" s="33">
        <f>QUARTILE(podaci!E121:E170,1)</f>
        <v>91.712500000000006</v>
      </c>
      <c r="E123" s="33">
        <f>MEDIAN(podaci!E121:E170)</f>
        <v>93.025000000000006</v>
      </c>
      <c r="F123" s="33">
        <f>QUARTILE(podaci!E121:E170,3)</f>
        <v>94.04</v>
      </c>
      <c r="G123" s="33">
        <f>MAX(podaci!E121:E170)</f>
        <v>96.05</v>
      </c>
    </row>
    <row r="124" spans="1:7" x14ac:dyDescent="0.35">
      <c r="A124" t="s">
        <v>41</v>
      </c>
      <c r="B124" s="33">
        <f>AVERAGE(podaci!F121:F170)</f>
        <v>86.529400000000024</v>
      </c>
      <c r="C124" s="33">
        <f>MIN(podaci!F121:F170)</f>
        <v>78.78</v>
      </c>
      <c r="D124" s="33">
        <f>QUARTILE(podaci!F121:F170,1)</f>
        <v>84.245000000000005</v>
      </c>
      <c r="E124" s="33">
        <f>MEDIAN(podaci!F121:F170)</f>
        <v>86.89</v>
      </c>
      <c r="F124" s="33">
        <f>QUARTILE(podaci!F121:F170,3)</f>
        <v>89.284999999999997</v>
      </c>
      <c r="G124" s="33">
        <f>MAX(podaci!F121:F170)</f>
        <v>93.61</v>
      </c>
    </row>
    <row r="125" spans="1:7" x14ac:dyDescent="0.35">
      <c r="A125" s="69" t="s">
        <v>103</v>
      </c>
      <c r="B125" s="69"/>
      <c r="C125" s="19"/>
      <c r="D125" s="19"/>
      <c r="E125" s="19"/>
      <c r="F125" s="19"/>
      <c r="G125" s="19"/>
    </row>
    <row r="126" spans="1:7" x14ac:dyDescent="0.35">
      <c r="A126" s="69"/>
      <c r="B126" s="69"/>
      <c r="C126" s="19"/>
      <c r="D126" s="19"/>
      <c r="E126" s="19"/>
      <c r="F126" s="19"/>
      <c r="G126" s="19"/>
    </row>
    <row r="127" spans="1:7" x14ac:dyDescent="0.35">
      <c r="A127" s="19"/>
      <c r="B127" s="19"/>
      <c r="C127" s="19"/>
      <c r="D127" s="19"/>
      <c r="E127" s="19"/>
      <c r="F127" s="19"/>
      <c r="G127" s="19"/>
    </row>
    <row r="128" spans="1:7" x14ac:dyDescent="0.35">
      <c r="A128" s="19"/>
      <c r="B128" s="19"/>
      <c r="C128" s="19"/>
      <c r="D128" s="19"/>
      <c r="E128" s="19"/>
      <c r="F128" s="19"/>
      <c r="G128" s="19"/>
    </row>
    <row r="129" spans="1:7" x14ac:dyDescent="0.35">
      <c r="A129" s="19"/>
      <c r="B129" s="19"/>
      <c r="C129" s="19"/>
      <c r="D129" s="19"/>
      <c r="E129" s="19"/>
      <c r="F129" s="19"/>
      <c r="G129" s="19"/>
    </row>
    <row r="130" spans="1:7" x14ac:dyDescent="0.35">
      <c r="A130" s="19"/>
      <c r="B130" s="19"/>
      <c r="C130" s="19"/>
      <c r="D130" s="19"/>
      <c r="E130" s="19"/>
      <c r="F130" s="19"/>
      <c r="G130" s="19"/>
    </row>
    <row r="131" spans="1:7" x14ac:dyDescent="0.35">
      <c r="A131" s="19"/>
      <c r="B131" s="19"/>
      <c r="C131" s="19"/>
      <c r="D131" s="19"/>
      <c r="E131" s="19"/>
      <c r="F131" s="19"/>
      <c r="G131" s="19"/>
    </row>
    <row r="132" spans="1:7" x14ac:dyDescent="0.35">
      <c r="A132" s="19"/>
      <c r="B132" s="19"/>
      <c r="C132" s="19"/>
      <c r="D132" s="19"/>
      <c r="E132" s="19"/>
      <c r="F132" s="19"/>
      <c r="G132" s="19"/>
    </row>
    <row r="133" spans="1:7" x14ac:dyDescent="0.35">
      <c r="A133" s="19"/>
      <c r="B133" s="19"/>
      <c r="C133" s="19"/>
      <c r="D133" s="19"/>
      <c r="E133" s="19"/>
      <c r="F133" s="19"/>
      <c r="G133" s="19"/>
    </row>
    <row r="134" spans="1:7" x14ac:dyDescent="0.35">
      <c r="A134" s="19"/>
      <c r="B134" s="19"/>
      <c r="C134" s="19"/>
      <c r="D134" s="19"/>
      <c r="E134" s="19"/>
      <c r="F134" s="19"/>
      <c r="G134" s="19"/>
    </row>
    <row r="135" spans="1:7" x14ac:dyDescent="0.35">
      <c r="A135" s="19"/>
      <c r="B135" s="19"/>
      <c r="C135" s="19"/>
      <c r="D135" s="19"/>
      <c r="E135" s="19"/>
      <c r="F135" s="19"/>
      <c r="G135" s="19"/>
    </row>
    <row r="136" spans="1:7" x14ac:dyDescent="0.35">
      <c r="A136" s="19"/>
      <c r="B136" s="19"/>
      <c r="C136" s="19"/>
      <c r="D136" s="19"/>
      <c r="E136" s="19"/>
      <c r="F136" s="19"/>
      <c r="G136" s="19"/>
    </row>
    <row r="137" spans="1:7" x14ac:dyDescent="0.35">
      <c r="A137" s="19"/>
      <c r="B137" s="19"/>
      <c r="C137" s="19"/>
      <c r="D137" s="19"/>
      <c r="E137" s="19"/>
      <c r="F137" s="19"/>
      <c r="G137" s="19"/>
    </row>
    <row r="138" spans="1:7" x14ac:dyDescent="0.35">
      <c r="A138" s="19"/>
      <c r="B138" s="19"/>
      <c r="C138" s="19"/>
      <c r="D138" s="19"/>
      <c r="E138" s="19"/>
      <c r="F138" s="19"/>
      <c r="G138" s="19"/>
    </row>
    <row r="139" spans="1:7" x14ac:dyDescent="0.35">
      <c r="A139" s="19"/>
      <c r="B139" s="19"/>
      <c r="C139" s="19"/>
      <c r="D139" s="19"/>
      <c r="E139" s="19"/>
      <c r="F139" s="19"/>
      <c r="G139" s="19"/>
    </row>
    <row r="140" spans="1:7" x14ac:dyDescent="0.35">
      <c r="A140" s="19"/>
      <c r="B140" s="19"/>
      <c r="C140" s="19"/>
      <c r="D140" s="19"/>
      <c r="E140" s="19"/>
      <c r="F140" s="19"/>
      <c r="G140" s="19"/>
    </row>
    <row r="141" spans="1:7" x14ac:dyDescent="0.35">
      <c r="A141" s="19"/>
      <c r="B141" s="19"/>
      <c r="C141" s="19"/>
      <c r="D141" s="19"/>
      <c r="E141" s="19"/>
      <c r="F141" s="19"/>
      <c r="G141" s="19"/>
    </row>
    <row r="142" spans="1:7" x14ac:dyDescent="0.35">
      <c r="A142" s="19"/>
      <c r="B142" s="19"/>
      <c r="C142" s="19"/>
      <c r="D142" s="19"/>
      <c r="E142" s="19"/>
      <c r="F142" s="19"/>
      <c r="G142" s="19"/>
    </row>
    <row r="143" spans="1:7" x14ac:dyDescent="0.35">
      <c r="A143" s="19"/>
      <c r="B143" s="19"/>
      <c r="C143" s="19"/>
      <c r="D143" s="19"/>
      <c r="E143" s="19"/>
      <c r="F143" s="19"/>
      <c r="G143" s="19"/>
    </row>
    <row r="144" spans="1:7" x14ac:dyDescent="0.35">
      <c r="A144" s="19"/>
      <c r="B144" s="19"/>
      <c r="C144" s="19"/>
      <c r="D144" s="19"/>
      <c r="E144" s="19"/>
      <c r="F144" s="19"/>
      <c r="G144" s="19"/>
    </row>
    <row r="145" spans="1:7" x14ac:dyDescent="0.35">
      <c r="A145" s="19"/>
      <c r="B145" s="19"/>
      <c r="C145" s="19"/>
      <c r="D145" s="19"/>
      <c r="E145" s="19"/>
      <c r="F145" s="19"/>
      <c r="G145" s="19"/>
    </row>
    <row r="146" spans="1:7" x14ac:dyDescent="0.35">
      <c r="A146" s="19"/>
      <c r="B146" s="19"/>
      <c r="C146" s="19"/>
      <c r="D146" s="19"/>
      <c r="E146" s="19"/>
      <c r="F146" s="19"/>
      <c r="G146" s="19"/>
    </row>
    <row r="147" spans="1:7" x14ac:dyDescent="0.35">
      <c r="A147" s="19"/>
      <c r="B147" s="19"/>
      <c r="C147" s="19"/>
      <c r="D147" s="19"/>
      <c r="E147" s="19"/>
      <c r="F147" s="19"/>
      <c r="G147" s="19"/>
    </row>
    <row r="148" spans="1:7" x14ac:dyDescent="0.35">
      <c r="A148" s="19"/>
      <c r="B148" s="19"/>
      <c r="C148" s="19"/>
      <c r="D148" s="19"/>
      <c r="E148" s="19"/>
      <c r="F148" s="19"/>
      <c r="G148" s="19"/>
    </row>
    <row r="149" spans="1:7" x14ac:dyDescent="0.35">
      <c r="A149" s="19"/>
      <c r="B149" s="19"/>
      <c r="C149" s="19"/>
      <c r="D149" s="19"/>
      <c r="E149" s="19"/>
      <c r="F149" s="19"/>
      <c r="G149" s="19"/>
    </row>
    <row r="150" spans="1:7" x14ac:dyDescent="0.35">
      <c r="A150" s="19"/>
      <c r="B150" s="19"/>
      <c r="C150" s="19"/>
      <c r="D150" s="19"/>
      <c r="E150" s="19"/>
      <c r="F150" s="19"/>
      <c r="G150" s="19"/>
    </row>
    <row r="151" spans="1:7" x14ac:dyDescent="0.35">
      <c r="A151" s="19"/>
      <c r="B151" s="19"/>
      <c r="C151" s="19"/>
      <c r="D151" s="19"/>
      <c r="E151" s="19"/>
      <c r="F151" s="19"/>
      <c r="G151" s="19"/>
    </row>
    <row r="152" spans="1:7" x14ac:dyDescent="0.35">
      <c r="A152" s="19"/>
      <c r="B152" s="19"/>
      <c r="C152" s="19"/>
      <c r="D152" s="19"/>
      <c r="E152" s="19"/>
      <c r="F152" s="19"/>
      <c r="G152" s="19"/>
    </row>
    <row r="153" spans="1:7" x14ac:dyDescent="0.35">
      <c r="A153" s="19"/>
      <c r="B153" s="19"/>
      <c r="C153" s="19"/>
      <c r="D153" s="19"/>
      <c r="E153" s="19"/>
      <c r="F153" s="19"/>
      <c r="G153" s="19"/>
    </row>
    <row r="154" spans="1:7" x14ac:dyDescent="0.35">
      <c r="A154" s="19"/>
      <c r="B154" s="19"/>
      <c r="C154" s="19"/>
      <c r="D154" s="19"/>
      <c r="E154" s="19"/>
      <c r="F154" s="19"/>
      <c r="G154" s="19"/>
    </row>
    <row r="155" spans="1:7" x14ac:dyDescent="0.35">
      <c r="A155" s="19"/>
      <c r="B155" s="19"/>
      <c r="C155" s="19"/>
      <c r="D155" s="19"/>
      <c r="E155" s="19"/>
      <c r="F155" s="19"/>
      <c r="G155" s="19"/>
    </row>
    <row r="156" spans="1:7" x14ac:dyDescent="0.35">
      <c r="A156" s="19"/>
      <c r="B156" s="19"/>
      <c r="C156" s="19"/>
      <c r="D156" s="19"/>
      <c r="E156" s="19"/>
      <c r="F156" s="19"/>
      <c r="G156" s="19"/>
    </row>
    <row r="157" spans="1:7" x14ac:dyDescent="0.35">
      <c r="A157" s="19"/>
      <c r="B157" s="19"/>
      <c r="C157" s="19"/>
      <c r="D157" s="19"/>
      <c r="E157" s="19"/>
      <c r="F157" s="19"/>
      <c r="G157" s="19"/>
    </row>
    <row r="158" spans="1:7" x14ac:dyDescent="0.35">
      <c r="A158" s="19"/>
      <c r="B158" s="19"/>
      <c r="C158" s="19"/>
      <c r="D158" s="19"/>
      <c r="E158" s="19"/>
      <c r="F158" s="19"/>
      <c r="G158" s="19"/>
    </row>
    <row r="159" spans="1:7" x14ac:dyDescent="0.35">
      <c r="A159" s="19"/>
      <c r="B159" s="19"/>
      <c r="C159" s="19"/>
      <c r="D159" s="19"/>
      <c r="E159" s="19"/>
      <c r="F159" s="19"/>
      <c r="G159" s="19"/>
    </row>
    <row r="160" spans="1:7" x14ac:dyDescent="0.35">
      <c r="A160" s="19"/>
      <c r="B160" s="19"/>
      <c r="C160" s="19"/>
      <c r="D160" s="19"/>
      <c r="E160" s="19"/>
      <c r="F160" s="19"/>
      <c r="G160" s="19"/>
    </row>
    <row r="161" spans="1:7" x14ac:dyDescent="0.35">
      <c r="A161" s="19"/>
      <c r="B161" s="19"/>
      <c r="C161" s="19"/>
      <c r="D161" s="19"/>
      <c r="E161" s="19"/>
      <c r="F161" s="19"/>
      <c r="G161" s="19"/>
    </row>
    <row r="162" spans="1:7" x14ac:dyDescent="0.35">
      <c r="A162" s="19"/>
      <c r="B162" s="19"/>
      <c r="C162" s="19"/>
      <c r="D162" s="19"/>
      <c r="E162" s="19"/>
      <c r="F162" s="19"/>
      <c r="G162" s="19"/>
    </row>
    <row r="163" spans="1:7" x14ac:dyDescent="0.35">
      <c r="A163" s="19"/>
      <c r="B163" s="19"/>
      <c r="C163" s="19"/>
      <c r="D163" s="19"/>
      <c r="E163" s="19"/>
      <c r="F163" s="19"/>
      <c r="G163" s="19"/>
    </row>
    <row r="164" spans="1:7" x14ac:dyDescent="0.35">
      <c r="A164" s="19"/>
      <c r="B164" s="19"/>
      <c r="C164" s="19"/>
      <c r="D164" s="19"/>
      <c r="E164" s="19"/>
      <c r="F164" s="19"/>
      <c r="G164" s="19"/>
    </row>
    <row r="165" spans="1:7" x14ac:dyDescent="0.35">
      <c r="A165" s="19"/>
      <c r="B165" s="19"/>
      <c r="C165" s="19"/>
      <c r="D165" s="19"/>
      <c r="E165" s="19"/>
      <c r="F165" s="19"/>
      <c r="G165" s="19"/>
    </row>
    <row r="166" spans="1:7" x14ac:dyDescent="0.35">
      <c r="A166" s="19"/>
      <c r="B166" s="19"/>
      <c r="C166" s="19"/>
      <c r="D166" s="19"/>
      <c r="E166" s="19"/>
      <c r="F166" s="19"/>
      <c r="G166" s="19"/>
    </row>
    <row r="167" spans="1:7" x14ac:dyDescent="0.35">
      <c r="A167" s="19"/>
      <c r="B167" s="19"/>
      <c r="C167" s="19"/>
      <c r="D167" s="19"/>
      <c r="E167" s="19"/>
      <c r="F167" s="19"/>
      <c r="G167" s="19"/>
    </row>
    <row r="168" spans="1:7" x14ac:dyDescent="0.35">
      <c r="A168" s="19"/>
      <c r="B168" s="19"/>
      <c r="C168" s="19"/>
      <c r="D168" s="19"/>
      <c r="E168" s="19"/>
      <c r="F168" s="19"/>
      <c r="G168" s="19"/>
    </row>
    <row r="169" spans="1:7" x14ac:dyDescent="0.35">
      <c r="A169" s="19"/>
      <c r="B169" s="19"/>
      <c r="C169" s="19"/>
      <c r="D169" s="19"/>
      <c r="E169" s="19"/>
      <c r="F169" s="19"/>
      <c r="G169" s="19"/>
    </row>
    <row r="170" spans="1:7" x14ac:dyDescent="0.35">
      <c r="A170" s="19"/>
      <c r="B170" s="19"/>
      <c r="C170" s="19"/>
      <c r="D170" s="19"/>
      <c r="E170" s="19"/>
      <c r="F170" s="19"/>
      <c r="G170" s="19"/>
    </row>
    <row r="171" spans="1:7" x14ac:dyDescent="0.35">
      <c r="A171" s="19"/>
      <c r="B171" s="19"/>
      <c r="C171" s="19"/>
      <c r="D171" s="19"/>
      <c r="E171" s="19"/>
      <c r="F171" s="19"/>
      <c r="G171" s="19"/>
    </row>
    <row r="172" spans="1:7" x14ac:dyDescent="0.35">
      <c r="A172" s="19"/>
      <c r="B172" s="19"/>
      <c r="C172" s="19"/>
      <c r="D172" s="19"/>
      <c r="E172" s="19"/>
      <c r="F172" s="19"/>
      <c r="G172" s="19"/>
    </row>
    <row r="173" spans="1:7" x14ac:dyDescent="0.35">
      <c r="A173" s="19"/>
      <c r="B173" s="19"/>
      <c r="C173" s="19"/>
      <c r="D173" s="19"/>
      <c r="E173" s="19"/>
      <c r="F173" s="19"/>
      <c r="G173" s="19"/>
    </row>
    <row r="174" spans="1:7" x14ac:dyDescent="0.35">
      <c r="A174" s="19"/>
      <c r="B174" s="19"/>
      <c r="C174" s="19"/>
      <c r="D174" s="19"/>
      <c r="E174" s="19"/>
      <c r="F174" s="19"/>
      <c r="G174" s="19"/>
    </row>
    <row r="175" spans="1:7" x14ac:dyDescent="0.35">
      <c r="A175" s="19"/>
      <c r="B175" s="19"/>
      <c r="C175" s="19"/>
      <c r="D175" s="19"/>
      <c r="E175" s="19"/>
      <c r="F175" s="19"/>
      <c r="G175" s="19"/>
    </row>
    <row r="176" spans="1:7" x14ac:dyDescent="0.35">
      <c r="A176" s="19"/>
      <c r="B176" s="19"/>
      <c r="C176" s="19"/>
      <c r="D176" s="19"/>
      <c r="E176" s="19"/>
      <c r="F176" s="19"/>
      <c r="G176" s="19"/>
    </row>
    <row r="177" spans="1:7" x14ac:dyDescent="0.35">
      <c r="A177" s="19"/>
      <c r="B177" s="19"/>
      <c r="C177" s="19"/>
      <c r="D177" s="19"/>
      <c r="E177" s="19"/>
      <c r="F177" s="19"/>
      <c r="G177" s="19"/>
    </row>
    <row r="178" spans="1:7" x14ac:dyDescent="0.35">
      <c r="A178" s="19"/>
      <c r="B178" s="19"/>
      <c r="C178" s="19"/>
      <c r="D178" s="19"/>
      <c r="E178" s="19"/>
      <c r="F178" s="19"/>
      <c r="G178" s="19"/>
    </row>
  </sheetData>
  <mergeCells count="3">
    <mergeCell ref="A6:B7"/>
    <mergeCell ref="A66:B67"/>
    <mergeCell ref="A125:B126"/>
  </mergeCells>
  <pageMargins left="0.75" right="0.75" top="1" bottom="1" header="0.5" footer="0.5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8"/>
  <sheetViews>
    <sheetView workbookViewId="0">
      <selection activeCell="C121" sqref="C121"/>
    </sheetView>
  </sheetViews>
  <sheetFormatPr defaultRowHeight="14.5" x14ac:dyDescent="0.35"/>
  <cols>
    <col min="1" max="5" width="18" customWidth="1"/>
  </cols>
  <sheetData>
    <row r="1" spans="1:5" x14ac:dyDescent="0.35">
      <c r="A1" s="6" t="s">
        <v>21</v>
      </c>
      <c r="B1" s="14" t="s">
        <v>91</v>
      </c>
      <c r="C1" s="6" t="s">
        <v>42</v>
      </c>
      <c r="D1" s="6" t="s">
        <v>43</v>
      </c>
      <c r="E1" s="6" t="s">
        <v>44</v>
      </c>
    </row>
    <row r="2" spans="1:5" x14ac:dyDescent="0.35">
      <c r="A2" t="s">
        <v>85</v>
      </c>
      <c r="B2" s="33">
        <f>MIN(podaci!B2:B51)</f>
        <v>93.68</v>
      </c>
      <c r="C2" s="33">
        <v>91.41</v>
      </c>
      <c r="D2" s="33">
        <f t="shared" ref="D2:D7" si="0">B2-C2</f>
        <v>2.2700000000000102</v>
      </c>
      <c r="E2" s="33">
        <f t="shared" ref="E2:E7" si="1">(B2-C2)/C2*100</f>
        <v>2.4833169237501478</v>
      </c>
    </row>
    <row r="3" spans="1:5" x14ac:dyDescent="0.35">
      <c r="A3" t="s">
        <v>86</v>
      </c>
      <c r="B3" s="33">
        <f>QUARTILE(podaci!B2:B51,1)</f>
        <v>94.47</v>
      </c>
      <c r="C3" s="33">
        <v>91.41</v>
      </c>
      <c r="D3" s="33">
        <f t="shared" si="0"/>
        <v>3.0600000000000023</v>
      </c>
      <c r="E3" s="33">
        <f t="shared" si="1"/>
        <v>3.347554972103711</v>
      </c>
    </row>
    <row r="4" spans="1:5" x14ac:dyDescent="0.35">
      <c r="A4" t="s">
        <v>87</v>
      </c>
      <c r="B4" s="33">
        <f>MEDIAN(podaci!B2:B51)</f>
        <v>95.185000000000002</v>
      </c>
      <c r="C4" s="33">
        <v>91.41</v>
      </c>
      <c r="D4" s="33">
        <f t="shared" si="0"/>
        <v>3.7750000000000057</v>
      </c>
      <c r="E4" s="33">
        <f t="shared" si="1"/>
        <v>4.1297451044743525</v>
      </c>
    </row>
    <row r="5" spans="1:5" x14ac:dyDescent="0.35">
      <c r="A5" t="s">
        <v>88</v>
      </c>
      <c r="B5" s="33">
        <f>AVERAGE(podaci!B2:B51)</f>
        <v>95.109400000000008</v>
      </c>
      <c r="C5" s="33">
        <v>91.41</v>
      </c>
      <c r="D5" s="33">
        <f t="shared" si="0"/>
        <v>3.6994000000000113</v>
      </c>
      <c r="E5" s="33">
        <f t="shared" si="1"/>
        <v>4.0470408051635616</v>
      </c>
    </row>
    <row r="6" spans="1:5" x14ac:dyDescent="0.35">
      <c r="A6" t="s">
        <v>89</v>
      </c>
      <c r="B6" s="33">
        <f>QUARTILE(podaci!B2:B51,3)</f>
        <v>95.594999999999999</v>
      </c>
      <c r="C6" s="33">
        <v>91.41</v>
      </c>
      <c r="D6" s="33">
        <f t="shared" si="0"/>
        <v>4.1850000000000023</v>
      </c>
      <c r="E6" s="33">
        <f t="shared" si="1"/>
        <v>4.5782737118477215</v>
      </c>
    </row>
    <row r="7" spans="1:5" x14ac:dyDescent="0.35">
      <c r="A7" t="s">
        <v>90</v>
      </c>
      <c r="B7" s="33">
        <f>MAX(podaci!B2:B51)</f>
        <v>96.42</v>
      </c>
      <c r="C7" s="33">
        <v>91.41</v>
      </c>
      <c r="D7" s="33">
        <f t="shared" si="0"/>
        <v>5.0100000000000051</v>
      </c>
      <c r="E7" s="33">
        <f t="shared" si="1"/>
        <v>5.4808007876599989</v>
      </c>
    </row>
    <row r="8" spans="1:5" x14ac:dyDescent="0.35">
      <c r="A8" s="69" t="s">
        <v>98</v>
      </c>
      <c r="B8" s="69"/>
      <c r="C8" s="19"/>
      <c r="D8" s="19"/>
      <c r="E8" s="19"/>
    </row>
    <row r="9" spans="1:5" x14ac:dyDescent="0.35">
      <c r="A9" s="69"/>
      <c r="B9" s="69"/>
      <c r="C9" s="19"/>
      <c r="D9" s="19"/>
      <c r="E9" s="19"/>
    </row>
    <row r="10" spans="1:5" x14ac:dyDescent="0.35">
      <c r="A10" s="19"/>
      <c r="B10" s="19"/>
      <c r="C10" s="19"/>
      <c r="D10" s="19"/>
      <c r="E10" s="19"/>
    </row>
    <row r="11" spans="1:5" x14ac:dyDescent="0.35">
      <c r="A11" s="19"/>
      <c r="B11" s="19"/>
      <c r="C11" s="19"/>
      <c r="D11" s="19"/>
      <c r="E11" s="19"/>
    </row>
    <row r="12" spans="1:5" x14ac:dyDescent="0.35">
      <c r="A12" s="19"/>
      <c r="B12" s="19"/>
      <c r="C12" s="19"/>
      <c r="D12" s="19"/>
      <c r="E12" s="19"/>
    </row>
    <row r="13" spans="1:5" x14ac:dyDescent="0.35">
      <c r="A13" s="19"/>
      <c r="B13" s="19"/>
      <c r="C13" s="19"/>
      <c r="D13" s="19"/>
      <c r="E13" s="19"/>
    </row>
    <row r="14" spans="1:5" x14ac:dyDescent="0.35">
      <c r="A14" s="19"/>
      <c r="B14" s="19"/>
      <c r="C14" s="19"/>
      <c r="D14" s="19"/>
      <c r="E14" s="19"/>
    </row>
    <row r="15" spans="1:5" x14ac:dyDescent="0.35">
      <c r="A15" s="19"/>
      <c r="B15" s="19"/>
      <c r="C15" s="19"/>
      <c r="D15" s="19"/>
      <c r="E15" s="19"/>
    </row>
    <row r="16" spans="1:5" x14ac:dyDescent="0.35">
      <c r="A16" s="19"/>
      <c r="B16" s="19"/>
      <c r="C16" s="19"/>
      <c r="D16" s="19"/>
      <c r="E16" s="19"/>
    </row>
    <row r="17" spans="1:5" x14ac:dyDescent="0.35">
      <c r="A17" s="19"/>
      <c r="B17" s="19"/>
      <c r="C17" s="19"/>
      <c r="D17" s="19"/>
      <c r="E17" s="19"/>
    </row>
    <row r="18" spans="1:5" x14ac:dyDescent="0.35">
      <c r="A18" s="19"/>
      <c r="B18" s="19"/>
      <c r="C18" s="19"/>
      <c r="D18" s="19"/>
      <c r="E18" s="19"/>
    </row>
    <row r="19" spans="1:5" x14ac:dyDescent="0.35">
      <c r="A19" s="19"/>
      <c r="B19" s="19"/>
      <c r="C19" s="19"/>
      <c r="D19" s="19"/>
      <c r="E19" s="19"/>
    </row>
    <row r="20" spans="1:5" x14ac:dyDescent="0.35">
      <c r="A20" s="19"/>
      <c r="B20" s="19"/>
      <c r="C20" s="19"/>
      <c r="D20" s="19"/>
      <c r="E20" s="19"/>
    </row>
    <row r="21" spans="1:5" x14ac:dyDescent="0.35">
      <c r="A21" s="19"/>
      <c r="B21" s="19"/>
      <c r="C21" s="19"/>
      <c r="D21" s="19"/>
      <c r="E21" s="19"/>
    </row>
    <row r="22" spans="1:5" x14ac:dyDescent="0.35">
      <c r="A22" s="19"/>
      <c r="B22" s="19"/>
      <c r="C22" s="19"/>
      <c r="D22" s="19"/>
      <c r="E22" s="19"/>
    </row>
    <row r="23" spans="1:5" x14ac:dyDescent="0.35">
      <c r="A23" s="19"/>
      <c r="B23" s="19"/>
      <c r="C23" s="19"/>
      <c r="D23" s="19"/>
      <c r="E23" s="19"/>
    </row>
    <row r="24" spans="1:5" x14ac:dyDescent="0.35">
      <c r="A24" s="19"/>
      <c r="B24" s="19"/>
      <c r="C24" s="19"/>
      <c r="D24" s="19"/>
      <c r="E24" s="19"/>
    </row>
    <row r="25" spans="1:5" x14ac:dyDescent="0.35">
      <c r="A25" s="19"/>
      <c r="B25" s="19"/>
      <c r="C25" s="19"/>
      <c r="D25" s="19"/>
      <c r="E25" s="19"/>
    </row>
    <row r="26" spans="1:5" x14ac:dyDescent="0.35">
      <c r="A26" s="19"/>
      <c r="B26" s="19"/>
      <c r="C26" s="19"/>
      <c r="D26" s="19"/>
      <c r="E26" s="19"/>
    </row>
    <row r="27" spans="1:5" x14ac:dyDescent="0.35">
      <c r="A27" s="19"/>
      <c r="B27" s="19"/>
      <c r="C27" s="19"/>
      <c r="D27" s="19"/>
      <c r="E27" s="19"/>
    </row>
    <row r="28" spans="1:5" x14ac:dyDescent="0.35">
      <c r="A28" s="19"/>
      <c r="B28" s="19"/>
      <c r="C28" s="19"/>
      <c r="D28" s="19"/>
      <c r="E28" s="19"/>
    </row>
    <row r="29" spans="1:5" x14ac:dyDescent="0.35">
      <c r="A29" s="19"/>
      <c r="B29" s="19"/>
      <c r="C29" s="19"/>
      <c r="D29" s="19"/>
      <c r="E29" s="19"/>
    </row>
    <row r="30" spans="1:5" x14ac:dyDescent="0.35">
      <c r="A30" s="19"/>
      <c r="B30" s="19"/>
      <c r="C30" s="19"/>
      <c r="D30" s="19"/>
      <c r="E30" s="19"/>
    </row>
    <row r="31" spans="1:5" x14ac:dyDescent="0.35">
      <c r="A31" s="19"/>
      <c r="B31" s="19"/>
      <c r="C31" s="19"/>
      <c r="D31" s="19"/>
      <c r="E31" s="19"/>
    </row>
    <row r="32" spans="1:5" x14ac:dyDescent="0.35">
      <c r="A32" s="19"/>
      <c r="B32" s="19"/>
      <c r="C32" s="19"/>
      <c r="D32" s="19"/>
      <c r="E32" s="19"/>
    </row>
    <row r="33" spans="1:5" x14ac:dyDescent="0.35">
      <c r="A33" s="19"/>
      <c r="B33" s="19"/>
      <c r="C33" s="19"/>
      <c r="D33" s="19"/>
      <c r="E33" s="19"/>
    </row>
    <row r="34" spans="1:5" x14ac:dyDescent="0.35">
      <c r="A34" s="19"/>
      <c r="B34" s="19"/>
      <c r="C34" s="19"/>
      <c r="D34" s="19"/>
      <c r="E34" s="19"/>
    </row>
    <row r="35" spans="1:5" x14ac:dyDescent="0.35">
      <c r="A35" s="19"/>
      <c r="B35" s="19"/>
      <c r="C35" s="19"/>
      <c r="D35" s="19"/>
      <c r="E35" s="19"/>
    </row>
    <row r="36" spans="1:5" x14ac:dyDescent="0.35">
      <c r="A36" s="19"/>
      <c r="B36" s="19"/>
      <c r="C36" s="19"/>
      <c r="D36" s="19"/>
      <c r="E36" s="19"/>
    </row>
    <row r="37" spans="1:5" x14ac:dyDescent="0.35">
      <c r="A37" s="19"/>
      <c r="B37" s="19"/>
      <c r="C37" s="19"/>
      <c r="D37" s="19"/>
      <c r="E37" s="19"/>
    </row>
    <row r="38" spans="1:5" x14ac:dyDescent="0.35">
      <c r="A38" s="19"/>
      <c r="B38" s="19"/>
      <c r="C38" s="19"/>
      <c r="D38" s="19"/>
      <c r="E38" s="19"/>
    </row>
    <row r="39" spans="1:5" x14ac:dyDescent="0.35">
      <c r="A39" s="19"/>
      <c r="B39" s="19"/>
      <c r="C39" s="19"/>
      <c r="D39" s="19"/>
      <c r="E39" s="19"/>
    </row>
    <row r="40" spans="1:5" x14ac:dyDescent="0.35">
      <c r="A40" s="19"/>
      <c r="B40" s="19"/>
      <c r="C40" s="19"/>
      <c r="D40" s="19"/>
      <c r="E40" s="19"/>
    </row>
    <row r="41" spans="1:5" x14ac:dyDescent="0.35">
      <c r="A41" s="19"/>
      <c r="B41" s="19"/>
      <c r="C41" s="19"/>
      <c r="D41" s="19"/>
      <c r="E41" s="19"/>
    </row>
    <row r="42" spans="1:5" x14ac:dyDescent="0.35">
      <c r="A42" s="19"/>
      <c r="B42" s="19"/>
      <c r="C42" s="19"/>
      <c r="D42" s="19"/>
      <c r="E42" s="19"/>
    </row>
    <row r="43" spans="1:5" x14ac:dyDescent="0.35">
      <c r="A43" s="19"/>
      <c r="B43" s="19"/>
      <c r="C43" s="19"/>
      <c r="D43" s="19"/>
      <c r="E43" s="19"/>
    </row>
    <row r="44" spans="1:5" x14ac:dyDescent="0.35">
      <c r="A44" s="19"/>
      <c r="B44" s="19"/>
      <c r="C44" s="19"/>
      <c r="D44" s="19"/>
      <c r="E44" s="19"/>
    </row>
    <row r="45" spans="1:5" x14ac:dyDescent="0.35">
      <c r="A45" s="19"/>
      <c r="B45" s="19"/>
      <c r="C45" s="19"/>
      <c r="D45" s="19"/>
      <c r="E45" s="19"/>
    </row>
    <row r="46" spans="1:5" x14ac:dyDescent="0.35">
      <c r="A46" s="19"/>
      <c r="B46" s="19"/>
      <c r="C46" s="19"/>
      <c r="D46" s="19"/>
      <c r="E46" s="19"/>
    </row>
    <row r="47" spans="1:5" x14ac:dyDescent="0.35">
      <c r="A47" s="19"/>
      <c r="B47" s="19"/>
      <c r="C47" s="19"/>
      <c r="D47" s="19"/>
      <c r="E47" s="19"/>
    </row>
    <row r="48" spans="1:5" x14ac:dyDescent="0.35">
      <c r="A48" s="19"/>
      <c r="B48" s="19"/>
      <c r="C48" s="19"/>
      <c r="D48" s="19"/>
      <c r="E48" s="19"/>
    </row>
    <row r="49" spans="1:5" x14ac:dyDescent="0.35">
      <c r="A49" s="19"/>
      <c r="B49" s="19"/>
      <c r="C49" s="19"/>
      <c r="D49" s="19"/>
      <c r="E49" s="19"/>
    </row>
    <row r="50" spans="1:5" x14ac:dyDescent="0.35">
      <c r="A50" s="19"/>
      <c r="B50" s="19"/>
      <c r="C50" s="19"/>
      <c r="D50" s="19"/>
      <c r="E50" s="19"/>
    </row>
    <row r="51" spans="1:5" x14ac:dyDescent="0.35">
      <c r="A51" s="19"/>
      <c r="B51" s="19"/>
      <c r="C51" s="19"/>
      <c r="D51" s="19"/>
      <c r="E51" s="19"/>
    </row>
    <row r="52" spans="1:5" x14ac:dyDescent="0.35">
      <c r="A52" s="19"/>
      <c r="B52" s="19"/>
      <c r="C52" s="19"/>
      <c r="D52" s="19"/>
      <c r="E52" s="19"/>
    </row>
    <row r="53" spans="1:5" x14ac:dyDescent="0.35">
      <c r="A53" s="19"/>
      <c r="B53" s="19"/>
      <c r="C53" s="19"/>
      <c r="D53" s="19"/>
      <c r="E53" s="19"/>
    </row>
    <row r="54" spans="1:5" x14ac:dyDescent="0.35">
      <c r="A54" s="19"/>
      <c r="B54" s="19"/>
      <c r="C54" s="19"/>
      <c r="D54" s="19"/>
      <c r="E54" s="19"/>
    </row>
    <row r="55" spans="1:5" x14ac:dyDescent="0.35">
      <c r="A55" s="19"/>
      <c r="B55" s="19"/>
      <c r="C55" s="19"/>
      <c r="D55" s="19"/>
      <c r="E55" s="19"/>
    </row>
    <row r="56" spans="1:5" x14ac:dyDescent="0.35">
      <c r="A56" s="19"/>
      <c r="B56" s="19"/>
      <c r="C56" s="19"/>
      <c r="D56" s="19"/>
      <c r="E56" s="19"/>
    </row>
    <row r="57" spans="1:5" x14ac:dyDescent="0.35">
      <c r="A57" s="19"/>
      <c r="B57" s="19"/>
      <c r="C57" s="19"/>
      <c r="D57" s="19"/>
      <c r="E57" s="19"/>
    </row>
    <row r="58" spans="1:5" x14ac:dyDescent="0.35">
      <c r="A58" s="19"/>
      <c r="B58" s="19"/>
      <c r="C58" s="19"/>
      <c r="D58" s="19"/>
      <c r="E58" s="19"/>
    </row>
    <row r="59" spans="1:5" x14ac:dyDescent="0.35">
      <c r="A59" s="19"/>
      <c r="B59" s="19"/>
      <c r="C59" s="19"/>
      <c r="D59" s="19"/>
      <c r="E59" s="19"/>
    </row>
    <row r="60" spans="1:5" x14ac:dyDescent="0.35">
      <c r="A60" s="19"/>
      <c r="B60" s="19"/>
      <c r="C60" s="19"/>
      <c r="D60" s="19"/>
      <c r="E60" s="19"/>
    </row>
    <row r="61" spans="1:5" x14ac:dyDescent="0.35">
      <c r="A61" s="6" t="s">
        <v>21</v>
      </c>
      <c r="B61" s="14" t="s">
        <v>91</v>
      </c>
      <c r="C61" s="6" t="s">
        <v>42</v>
      </c>
      <c r="D61" s="6" t="s">
        <v>43</v>
      </c>
      <c r="E61" s="6" t="s">
        <v>44</v>
      </c>
    </row>
    <row r="62" spans="1:5" x14ac:dyDescent="0.35">
      <c r="A62" t="s">
        <v>85</v>
      </c>
      <c r="B62" s="33">
        <f>MIN(podaci!B62:B111)</f>
        <v>92.3</v>
      </c>
      <c r="C62" s="33">
        <v>91.41</v>
      </c>
      <c r="D62" s="33">
        <f t="shared" ref="D62:D67" si="2">B62-C62</f>
        <v>0.89000000000000057</v>
      </c>
      <c r="E62" s="33">
        <f t="shared" ref="E62:E67" si="3">(B62-C62)/C62*100</f>
        <v>0.97363526966415126</v>
      </c>
    </row>
    <row r="63" spans="1:5" x14ac:dyDescent="0.35">
      <c r="A63" t="s">
        <v>86</v>
      </c>
      <c r="B63" s="33">
        <f>QUARTILE(podaci!B62:B111,1)</f>
        <v>93.52</v>
      </c>
      <c r="C63" s="33">
        <v>91.41</v>
      </c>
      <c r="D63" s="33">
        <f t="shared" si="2"/>
        <v>2.1099999999999994</v>
      </c>
      <c r="E63" s="33">
        <f t="shared" si="3"/>
        <v>2.3082813696532103</v>
      </c>
    </row>
    <row r="64" spans="1:5" x14ac:dyDescent="0.35">
      <c r="A64" t="s">
        <v>87</v>
      </c>
      <c r="B64" s="33">
        <f>MEDIAN(podaci!B62:B111)</f>
        <v>93.944999999999993</v>
      </c>
      <c r="C64" s="33">
        <v>91.41</v>
      </c>
      <c r="D64" s="33">
        <f t="shared" si="2"/>
        <v>2.5349999999999966</v>
      </c>
      <c r="E64" s="33">
        <f t="shared" si="3"/>
        <v>2.7732195602231666</v>
      </c>
    </row>
    <row r="65" spans="1:5" x14ac:dyDescent="0.35">
      <c r="A65" t="s">
        <v>88</v>
      </c>
      <c r="B65" s="33">
        <f>AVERAGE(podaci!B62:B111)</f>
        <v>93.977200000000025</v>
      </c>
      <c r="C65" s="33">
        <v>91.41</v>
      </c>
      <c r="D65" s="33">
        <f t="shared" si="2"/>
        <v>2.5672000000000281</v>
      </c>
      <c r="E65" s="33">
        <f t="shared" si="3"/>
        <v>2.8084454654852076</v>
      </c>
    </row>
    <row r="66" spans="1:5" x14ac:dyDescent="0.35">
      <c r="A66" t="s">
        <v>89</v>
      </c>
      <c r="B66" s="33">
        <f>QUARTILE(podaci!B62:B111,3)</f>
        <v>94.492500000000007</v>
      </c>
      <c r="C66" s="33">
        <v>91.41</v>
      </c>
      <c r="D66" s="33">
        <f t="shared" si="2"/>
        <v>3.0825000000000102</v>
      </c>
      <c r="E66" s="33">
        <f t="shared" si="3"/>
        <v>3.3721693468986</v>
      </c>
    </row>
    <row r="67" spans="1:5" x14ac:dyDescent="0.35">
      <c r="A67" t="s">
        <v>90</v>
      </c>
      <c r="B67" s="33">
        <f>MAX(podaci!B62:B111)</f>
        <v>95.64</v>
      </c>
      <c r="C67" s="33">
        <v>91.41</v>
      </c>
      <c r="D67" s="33">
        <f t="shared" si="2"/>
        <v>4.230000000000004</v>
      </c>
      <c r="E67" s="33">
        <f t="shared" si="3"/>
        <v>4.6275024614374844</v>
      </c>
    </row>
    <row r="68" spans="1:5" x14ac:dyDescent="0.35">
      <c r="A68" s="69" t="s">
        <v>102</v>
      </c>
      <c r="B68" s="69"/>
      <c r="C68" s="19"/>
      <c r="D68" s="19"/>
      <c r="E68" s="19"/>
    </row>
    <row r="69" spans="1:5" x14ac:dyDescent="0.35">
      <c r="A69" s="69"/>
      <c r="B69" s="69"/>
      <c r="C69" s="19"/>
      <c r="D69" s="19"/>
      <c r="E69" s="19"/>
    </row>
    <row r="70" spans="1:5" x14ac:dyDescent="0.35">
      <c r="A70" s="19"/>
      <c r="B70" s="19"/>
      <c r="C70" s="19"/>
      <c r="D70" s="19"/>
      <c r="E70" s="19"/>
    </row>
    <row r="71" spans="1:5" x14ac:dyDescent="0.35">
      <c r="A71" s="19"/>
      <c r="B71" s="19"/>
      <c r="C71" s="19"/>
      <c r="D71" s="19"/>
      <c r="E71" s="19"/>
    </row>
    <row r="72" spans="1:5" x14ac:dyDescent="0.35">
      <c r="A72" s="19"/>
      <c r="B72" s="19"/>
      <c r="C72" s="19"/>
      <c r="D72" s="19"/>
      <c r="E72" s="19"/>
    </row>
    <row r="73" spans="1:5" x14ac:dyDescent="0.35">
      <c r="A73" s="19"/>
      <c r="B73" s="19"/>
      <c r="C73" s="19"/>
      <c r="D73" s="19"/>
      <c r="E73" s="19"/>
    </row>
    <row r="74" spans="1:5" x14ac:dyDescent="0.35">
      <c r="A74" s="19"/>
      <c r="B74" s="19"/>
      <c r="C74" s="19"/>
      <c r="D74" s="19"/>
      <c r="E74" s="19"/>
    </row>
    <row r="75" spans="1:5" x14ac:dyDescent="0.35">
      <c r="A75" s="19"/>
      <c r="B75" s="19"/>
      <c r="C75" s="19"/>
      <c r="D75" s="19"/>
      <c r="E75" s="19"/>
    </row>
    <row r="76" spans="1:5" x14ac:dyDescent="0.35">
      <c r="A76" s="19"/>
      <c r="B76" s="19"/>
      <c r="C76" s="19"/>
      <c r="D76" s="19"/>
      <c r="E76" s="19"/>
    </row>
    <row r="77" spans="1:5" x14ac:dyDescent="0.35">
      <c r="A77" s="19"/>
      <c r="B77" s="19"/>
      <c r="C77" s="19"/>
      <c r="D77" s="19"/>
      <c r="E77" s="19"/>
    </row>
    <row r="78" spans="1:5" x14ac:dyDescent="0.35">
      <c r="A78" s="19"/>
      <c r="B78" s="19"/>
      <c r="C78" s="19"/>
      <c r="D78" s="19"/>
      <c r="E78" s="19"/>
    </row>
    <row r="79" spans="1:5" x14ac:dyDescent="0.35">
      <c r="A79" s="19"/>
      <c r="B79" s="19"/>
      <c r="C79" s="19"/>
      <c r="D79" s="19"/>
      <c r="E79" s="19"/>
    </row>
    <row r="80" spans="1:5" x14ac:dyDescent="0.35">
      <c r="A80" s="19"/>
      <c r="B80" s="19"/>
      <c r="C80" s="19"/>
      <c r="D80" s="19"/>
      <c r="E80" s="19"/>
    </row>
    <row r="81" spans="1:5" x14ac:dyDescent="0.35">
      <c r="A81" s="19"/>
      <c r="B81" s="19"/>
      <c r="C81" s="19"/>
      <c r="D81" s="19"/>
      <c r="E81" s="19"/>
    </row>
    <row r="82" spans="1:5" x14ac:dyDescent="0.35">
      <c r="A82" s="19"/>
      <c r="B82" s="19"/>
      <c r="C82" s="19"/>
      <c r="D82" s="19"/>
      <c r="E82" s="19"/>
    </row>
    <row r="83" spans="1:5" x14ac:dyDescent="0.35">
      <c r="A83" s="19"/>
      <c r="B83" s="19"/>
      <c r="C83" s="19"/>
      <c r="D83" s="19"/>
      <c r="E83" s="19"/>
    </row>
    <row r="84" spans="1:5" x14ac:dyDescent="0.35">
      <c r="A84" s="19"/>
      <c r="B84" s="19"/>
      <c r="C84" s="19"/>
      <c r="D84" s="19"/>
      <c r="E84" s="19"/>
    </row>
    <row r="85" spans="1:5" x14ac:dyDescent="0.35">
      <c r="A85" s="19"/>
      <c r="B85" s="19"/>
      <c r="C85" s="19"/>
      <c r="D85" s="19"/>
      <c r="E85" s="19"/>
    </row>
    <row r="86" spans="1:5" x14ac:dyDescent="0.35">
      <c r="A86" s="19"/>
      <c r="B86" s="19"/>
      <c r="C86" s="19"/>
      <c r="D86" s="19"/>
      <c r="E86" s="19"/>
    </row>
    <row r="87" spans="1:5" x14ac:dyDescent="0.35">
      <c r="A87" s="19"/>
      <c r="B87" s="19"/>
      <c r="C87" s="19"/>
      <c r="D87" s="19"/>
      <c r="E87" s="19"/>
    </row>
    <row r="88" spans="1:5" x14ac:dyDescent="0.35">
      <c r="A88" s="19"/>
      <c r="B88" s="19"/>
      <c r="C88" s="19"/>
      <c r="D88" s="19"/>
      <c r="E88" s="19"/>
    </row>
    <row r="89" spans="1:5" x14ac:dyDescent="0.35">
      <c r="A89" s="19"/>
      <c r="B89" s="19"/>
      <c r="C89" s="19"/>
      <c r="D89" s="19"/>
      <c r="E89" s="19"/>
    </row>
    <row r="90" spans="1:5" x14ac:dyDescent="0.35">
      <c r="A90" s="19"/>
      <c r="B90" s="19"/>
      <c r="C90" s="19"/>
      <c r="D90" s="19"/>
      <c r="E90" s="19"/>
    </row>
    <row r="91" spans="1:5" x14ac:dyDescent="0.35">
      <c r="A91" s="19"/>
      <c r="B91" s="19"/>
      <c r="C91" s="19"/>
      <c r="D91" s="19"/>
      <c r="E91" s="19"/>
    </row>
    <row r="92" spans="1:5" x14ac:dyDescent="0.35">
      <c r="A92" s="19"/>
      <c r="B92" s="19"/>
      <c r="C92" s="19"/>
      <c r="D92" s="19"/>
      <c r="E92" s="19"/>
    </row>
    <row r="93" spans="1:5" x14ac:dyDescent="0.35">
      <c r="A93" s="19"/>
      <c r="B93" s="19"/>
      <c r="C93" s="19"/>
      <c r="D93" s="19"/>
      <c r="E93" s="19"/>
    </row>
    <row r="94" spans="1:5" x14ac:dyDescent="0.35">
      <c r="A94" s="19"/>
      <c r="B94" s="19"/>
      <c r="C94" s="19"/>
      <c r="D94" s="19"/>
      <c r="E94" s="19"/>
    </row>
    <row r="95" spans="1:5" x14ac:dyDescent="0.35">
      <c r="A95" s="19"/>
      <c r="B95" s="19"/>
      <c r="C95" s="19"/>
      <c r="D95" s="19"/>
      <c r="E95" s="19"/>
    </row>
    <row r="96" spans="1:5" x14ac:dyDescent="0.35">
      <c r="A96" s="19"/>
      <c r="B96" s="19"/>
      <c r="C96" s="19"/>
      <c r="D96" s="19"/>
      <c r="E96" s="19"/>
    </row>
    <row r="97" spans="1:5" x14ac:dyDescent="0.35">
      <c r="A97" s="19"/>
      <c r="B97" s="19"/>
      <c r="C97" s="19"/>
      <c r="D97" s="19"/>
      <c r="E97" s="19"/>
    </row>
    <row r="98" spans="1:5" x14ac:dyDescent="0.35">
      <c r="A98" s="19"/>
      <c r="B98" s="19"/>
      <c r="C98" s="19"/>
      <c r="D98" s="19"/>
      <c r="E98" s="19"/>
    </row>
    <row r="99" spans="1:5" x14ac:dyDescent="0.35">
      <c r="A99" s="19"/>
      <c r="B99" s="19"/>
      <c r="C99" s="19"/>
      <c r="D99" s="19"/>
      <c r="E99" s="19"/>
    </row>
    <row r="100" spans="1:5" x14ac:dyDescent="0.35">
      <c r="A100" s="19"/>
      <c r="B100" s="19"/>
      <c r="C100" s="19"/>
      <c r="D100" s="19"/>
      <c r="E100" s="19"/>
    </row>
    <row r="101" spans="1:5" x14ac:dyDescent="0.35">
      <c r="A101" s="19"/>
      <c r="B101" s="19"/>
      <c r="C101" s="19"/>
      <c r="D101" s="19"/>
      <c r="E101" s="19"/>
    </row>
    <row r="102" spans="1:5" x14ac:dyDescent="0.35">
      <c r="A102" s="19"/>
      <c r="B102" s="19"/>
      <c r="C102" s="19"/>
      <c r="D102" s="19"/>
      <c r="E102" s="19"/>
    </row>
    <row r="103" spans="1:5" x14ac:dyDescent="0.35">
      <c r="A103" s="19"/>
      <c r="B103" s="19"/>
      <c r="C103" s="19"/>
      <c r="D103" s="19"/>
      <c r="E103" s="19"/>
    </row>
    <row r="104" spans="1:5" x14ac:dyDescent="0.35">
      <c r="A104" s="19"/>
      <c r="B104" s="19"/>
      <c r="C104" s="19"/>
      <c r="D104" s="19"/>
      <c r="E104" s="19"/>
    </row>
    <row r="105" spans="1:5" x14ac:dyDescent="0.35">
      <c r="A105" s="19"/>
      <c r="B105" s="19"/>
      <c r="C105" s="19"/>
      <c r="D105" s="19"/>
      <c r="E105" s="19"/>
    </row>
    <row r="106" spans="1:5" x14ac:dyDescent="0.35">
      <c r="A106" s="19"/>
      <c r="B106" s="19"/>
      <c r="C106" s="19"/>
      <c r="D106" s="19"/>
      <c r="E106" s="19"/>
    </row>
    <row r="107" spans="1:5" x14ac:dyDescent="0.35">
      <c r="A107" s="19"/>
      <c r="B107" s="19"/>
      <c r="C107" s="19"/>
      <c r="D107" s="19"/>
      <c r="E107" s="19"/>
    </row>
    <row r="108" spans="1:5" x14ac:dyDescent="0.35">
      <c r="A108" s="19"/>
      <c r="B108" s="19"/>
      <c r="C108" s="19"/>
      <c r="D108" s="19"/>
      <c r="E108" s="19"/>
    </row>
    <row r="109" spans="1:5" x14ac:dyDescent="0.35">
      <c r="A109" s="19"/>
      <c r="B109" s="19"/>
      <c r="C109" s="19"/>
      <c r="D109" s="19"/>
      <c r="E109" s="19"/>
    </row>
    <row r="110" spans="1:5" x14ac:dyDescent="0.35">
      <c r="A110" s="19"/>
      <c r="B110" s="19"/>
      <c r="C110" s="19"/>
      <c r="D110" s="19"/>
      <c r="E110" s="19"/>
    </row>
    <row r="111" spans="1:5" x14ac:dyDescent="0.35">
      <c r="A111" s="19"/>
      <c r="B111" s="19"/>
      <c r="C111" s="19"/>
      <c r="D111" s="19"/>
      <c r="E111" s="19"/>
    </row>
    <row r="112" spans="1:5" x14ac:dyDescent="0.35">
      <c r="A112" s="19"/>
      <c r="B112" s="19"/>
      <c r="C112" s="19"/>
      <c r="D112" s="19"/>
      <c r="E112" s="19"/>
    </row>
    <row r="113" spans="1:5" x14ac:dyDescent="0.35">
      <c r="A113" s="19"/>
      <c r="B113" s="19"/>
      <c r="C113" s="19"/>
      <c r="D113" s="19"/>
      <c r="E113" s="19"/>
    </row>
    <row r="114" spans="1:5" x14ac:dyDescent="0.35">
      <c r="A114" s="19"/>
      <c r="B114" s="19"/>
      <c r="C114" s="19"/>
      <c r="D114" s="19"/>
      <c r="E114" s="19"/>
    </row>
    <row r="115" spans="1:5" x14ac:dyDescent="0.35">
      <c r="A115" s="19"/>
      <c r="B115" s="19"/>
      <c r="C115" s="19"/>
      <c r="D115" s="19"/>
      <c r="E115" s="19"/>
    </row>
    <row r="116" spans="1:5" x14ac:dyDescent="0.35">
      <c r="A116" s="19"/>
      <c r="B116" s="19"/>
      <c r="C116" s="19"/>
      <c r="D116" s="19"/>
      <c r="E116" s="19"/>
    </row>
    <row r="117" spans="1:5" x14ac:dyDescent="0.35">
      <c r="A117" s="19"/>
      <c r="B117" s="19"/>
      <c r="C117" s="19"/>
      <c r="D117" s="19"/>
      <c r="E117" s="19"/>
    </row>
    <row r="118" spans="1:5" x14ac:dyDescent="0.35">
      <c r="A118" s="19"/>
      <c r="B118" s="19"/>
      <c r="C118" s="19"/>
      <c r="D118" s="19"/>
      <c r="E118" s="19"/>
    </row>
    <row r="119" spans="1:5" x14ac:dyDescent="0.35">
      <c r="A119" s="19"/>
      <c r="B119" s="19"/>
      <c r="C119" s="19"/>
      <c r="D119" s="19"/>
      <c r="E119" s="19"/>
    </row>
    <row r="120" spans="1:5" x14ac:dyDescent="0.35">
      <c r="A120" s="6" t="s">
        <v>21</v>
      </c>
      <c r="B120" s="14" t="s">
        <v>91</v>
      </c>
      <c r="C120" s="6" t="s">
        <v>42</v>
      </c>
      <c r="D120" s="6" t="s">
        <v>43</v>
      </c>
      <c r="E120" s="6" t="s">
        <v>44</v>
      </c>
    </row>
    <row r="121" spans="1:5" x14ac:dyDescent="0.35">
      <c r="A121" t="s">
        <v>85</v>
      </c>
      <c r="B121" s="33">
        <f>MIN(podaci!B121:B170)</f>
        <v>92.15</v>
      </c>
      <c r="C121" s="33">
        <v>91.41</v>
      </c>
      <c r="D121" s="33">
        <f t="shared" ref="D121:D126" si="4">B121-C121</f>
        <v>0.74000000000000909</v>
      </c>
      <c r="E121" s="33">
        <f t="shared" ref="E121:E126" si="5">(B121-C121)/C121*100</f>
        <v>0.80953943769829251</v>
      </c>
    </row>
    <row r="122" spans="1:5" x14ac:dyDescent="0.35">
      <c r="A122" t="s">
        <v>86</v>
      </c>
      <c r="B122" s="33">
        <f>QUARTILE(podaci!B121:B170,1)</f>
        <v>93.53</v>
      </c>
      <c r="C122" s="33">
        <v>91.41</v>
      </c>
      <c r="D122" s="33">
        <f t="shared" si="4"/>
        <v>2.1200000000000045</v>
      </c>
      <c r="E122" s="33">
        <f t="shared" si="5"/>
        <v>2.3192210917842737</v>
      </c>
    </row>
    <row r="123" spans="1:5" x14ac:dyDescent="0.35">
      <c r="A123" t="s">
        <v>87</v>
      </c>
      <c r="B123" s="33">
        <f>MEDIAN(podaci!B121:B170)</f>
        <v>94.085000000000008</v>
      </c>
      <c r="C123" s="33">
        <v>91.41</v>
      </c>
      <c r="D123" s="33">
        <f t="shared" si="4"/>
        <v>2.6750000000000114</v>
      </c>
      <c r="E123" s="33">
        <f t="shared" si="5"/>
        <v>2.9263756700579928</v>
      </c>
    </row>
    <row r="124" spans="1:5" x14ac:dyDescent="0.35">
      <c r="A124" t="s">
        <v>88</v>
      </c>
      <c r="B124" s="33">
        <f>AVERAGE(podaci!B121:B170)</f>
        <v>94.179399999999987</v>
      </c>
      <c r="C124" s="33">
        <v>91.41</v>
      </c>
      <c r="D124" s="33">
        <f t="shared" si="4"/>
        <v>2.7693999999999903</v>
      </c>
      <c r="E124" s="33">
        <f t="shared" si="5"/>
        <v>3.0296466469751566</v>
      </c>
    </row>
    <row r="125" spans="1:5" x14ac:dyDescent="0.35">
      <c r="A125" t="s">
        <v>89</v>
      </c>
      <c r="B125" s="33">
        <f>QUARTILE(podaci!B121:B170,3)</f>
        <v>94.91</v>
      </c>
      <c r="C125" s="33">
        <v>91.41</v>
      </c>
      <c r="D125" s="33">
        <f t="shared" si="4"/>
        <v>3.5</v>
      </c>
      <c r="E125" s="33">
        <f t="shared" si="5"/>
        <v>3.8289027458702551</v>
      </c>
    </row>
    <row r="126" spans="1:5" x14ac:dyDescent="0.35">
      <c r="A126" t="s">
        <v>90</v>
      </c>
      <c r="B126" s="33">
        <f>MAX(podaci!B121:B170)</f>
        <v>95.42</v>
      </c>
      <c r="C126" s="33">
        <v>91.41</v>
      </c>
      <c r="D126" s="33">
        <f t="shared" si="4"/>
        <v>4.0100000000000051</v>
      </c>
      <c r="E126" s="33">
        <f t="shared" si="5"/>
        <v>4.3868285745542117</v>
      </c>
    </row>
    <row r="127" spans="1:5" x14ac:dyDescent="0.35">
      <c r="A127" s="69" t="s">
        <v>103</v>
      </c>
      <c r="B127" s="69"/>
      <c r="C127" s="19"/>
      <c r="D127" s="19"/>
      <c r="E127" s="19"/>
    </row>
    <row r="128" spans="1:5" x14ac:dyDescent="0.35">
      <c r="A128" s="69"/>
      <c r="B128" s="69"/>
      <c r="C128" s="19"/>
      <c r="D128" s="19"/>
      <c r="E128" s="19"/>
    </row>
    <row r="129" spans="1:5" x14ac:dyDescent="0.35">
      <c r="A129" s="19"/>
      <c r="B129" s="19"/>
      <c r="C129" s="19"/>
      <c r="D129" s="19"/>
      <c r="E129" s="19"/>
    </row>
    <row r="130" spans="1:5" x14ac:dyDescent="0.35">
      <c r="A130" s="19"/>
      <c r="B130" s="19"/>
      <c r="C130" s="19"/>
      <c r="D130" s="19"/>
      <c r="E130" s="19"/>
    </row>
    <row r="131" spans="1:5" x14ac:dyDescent="0.35">
      <c r="A131" s="19"/>
      <c r="B131" s="19"/>
      <c r="C131" s="19"/>
      <c r="D131" s="19"/>
      <c r="E131" s="19"/>
    </row>
    <row r="132" spans="1:5" x14ac:dyDescent="0.35">
      <c r="A132" s="19"/>
      <c r="B132" s="19"/>
      <c r="C132" s="19"/>
      <c r="D132" s="19"/>
      <c r="E132" s="19"/>
    </row>
    <row r="133" spans="1:5" x14ac:dyDescent="0.35">
      <c r="A133" s="19"/>
      <c r="B133" s="19"/>
      <c r="C133" s="19"/>
      <c r="D133" s="19"/>
      <c r="E133" s="19"/>
    </row>
    <row r="134" spans="1:5" x14ac:dyDescent="0.35">
      <c r="A134" s="19"/>
      <c r="B134" s="19"/>
      <c r="C134" s="19"/>
      <c r="D134" s="19"/>
      <c r="E134" s="19"/>
    </row>
    <row r="135" spans="1:5" x14ac:dyDescent="0.35">
      <c r="A135" s="19"/>
      <c r="B135" s="19"/>
      <c r="C135" s="19"/>
      <c r="D135" s="19"/>
      <c r="E135" s="19"/>
    </row>
    <row r="136" spans="1:5" x14ac:dyDescent="0.35">
      <c r="A136" s="19"/>
      <c r="B136" s="19"/>
      <c r="C136" s="19"/>
      <c r="D136" s="19"/>
      <c r="E136" s="19"/>
    </row>
    <row r="137" spans="1:5" x14ac:dyDescent="0.35">
      <c r="A137" s="19"/>
      <c r="B137" s="19"/>
      <c r="C137" s="19"/>
      <c r="D137" s="19"/>
      <c r="E137" s="19"/>
    </row>
    <row r="138" spans="1:5" x14ac:dyDescent="0.35">
      <c r="A138" s="19"/>
      <c r="B138" s="19"/>
      <c r="C138" s="19"/>
      <c r="D138" s="19"/>
      <c r="E138" s="19"/>
    </row>
    <row r="139" spans="1:5" x14ac:dyDescent="0.35">
      <c r="A139" s="19"/>
      <c r="B139" s="19"/>
      <c r="C139" s="19"/>
      <c r="D139" s="19"/>
      <c r="E139" s="19"/>
    </row>
    <row r="140" spans="1:5" x14ac:dyDescent="0.35">
      <c r="A140" s="19"/>
      <c r="B140" s="19"/>
      <c r="C140" s="19"/>
      <c r="D140" s="19"/>
      <c r="E140" s="19"/>
    </row>
    <row r="141" spans="1:5" x14ac:dyDescent="0.35">
      <c r="A141" s="19"/>
      <c r="B141" s="19"/>
      <c r="C141" s="19"/>
      <c r="D141" s="19"/>
      <c r="E141" s="19"/>
    </row>
    <row r="142" spans="1:5" x14ac:dyDescent="0.35">
      <c r="A142" s="19"/>
      <c r="B142" s="19"/>
      <c r="C142" s="19"/>
      <c r="D142" s="19"/>
      <c r="E142" s="19"/>
    </row>
    <row r="143" spans="1:5" x14ac:dyDescent="0.35">
      <c r="A143" s="19"/>
      <c r="B143" s="19"/>
      <c r="C143" s="19"/>
      <c r="D143" s="19"/>
      <c r="E143" s="19"/>
    </row>
    <row r="144" spans="1:5" x14ac:dyDescent="0.35">
      <c r="A144" s="19"/>
      <c r="B144" s="19"/>
      <c r="C144" s="19"/>
      <c r="D144" s="19"/>
      <c r="E144" s="19"/>
    </row>
    <row r="145" spans="1:5" x14ac:dyDescent="0.35">
      <c r="A145" s="19"/>
      <c r="B145" s="19"/>
      <c r="C145" s="19"/>
      <c r="D145" s="19"/>
      <c r="E145" s="19"/>
    </row>
    <row r="146" spans="1:5" x14ac:dyDescent="0.35">
      <c r="A146" s="19"/>
      <c r="B146" s="19"/>
      <c r="C146" s="19"/>
      <c r="D146" s="19"/>
      <c r="E146" s="19"/>
    </row>
    <row r="147" spans="1:5" x14ac:dyDescent="0.35">
      <c r="A147" s="19"/>
      <c r="B147" s="19"/>
      <c r="C147" s="19"/>
      <c r="D147" s="19"/>
      <c r="E147" s="19"/>
    </row>
    <row r="148" spans="1:5" x14ac:dyDescent="0.35">
      <c r="A148" s="19"/>
      <c r="B148" s="19"/>
      <c r="C148" s="19"/>
      <c r="D148" s="19"/>
      <c r="E148" s="19"/>
    </row>
    <row r="149" spans="1:5" x14ac:dyDescent="0.35">
      <c r="A149" s="19"/>
      <c r="B149" s="19"/>
      <c r="C149" s="19"/>
      <c r="D149" s="19"/>
      <c r="E149" s="19"/>
    </row>
    <row r="150" spans="1:5" x14ac:dyDescent="0.35">
      <c r="A150" s="19"/>
      <c r="B150" s="19"/>
      <c r="C150" s="19"/>
      <c r="D150" s="19"/>
      <c r="E150" s="19"/>
    </row>
    <row r="151" spans="1:5" x14ac:dyDescent="0.35">
      <c r="A151" s="19"/>
      <c r="B151" s="19"/>
      <c r="C151" s="19"/>
      <c r="D151" s="19"/>
      <c r="E151" s="19"/>
    </row>
    <row r="152" spans="1:5" x14ac:dyDescent="0.35">
      <c r="A152" s="19"/>
      <c r="B152" s="19"/>
      <c r="C152" s="19"/>
      <c r="D152" s="19"/>
      <c r="E152" s="19"/>
    </row>
    <row r="153" spans="1:5" x14ac:dyDescent="0.35">
      <c r="A153" s="19"/>
      <c r="B153" s="19"/>
      <c r="C153" s="19"/>
      <c r="D153" s="19"/>
      <c r="E153" s="19"/>
    </row>
    <row r="154" spans="1:5" x14ac:dyDescent="0.35">
      <c r="A154" s="19"/>
      <c r="B154" s="19"/>
      <c r="C154" s="19"/>
      <c r="D154" s="19"/>
      <c r="E154" s="19"/>
    </row>
    <row r="155" spans="1:5" x14ac:dyDescent="0.35">
      <c r="A155" s="19"/>
      <c r="B155" s="19"/>
      <c r="C155" s="19"/>
      <c r="D155" s="19"/>
      <c r="E155" s="19"/>
    </row>
    <row r="156" spans="1:5" x14ac:dyDescent="0.35">
      <c r="A156" s="19"/>
      <c r="B156" s="19"/>
      <c r="C156" s="19"/>
      <c r="D156" s="19"/>
      <c r="E156" s="19"/>
    </row>
    <row r="157" spans="1:5" x14ac:dyDescent="0.35">
      <c r="A157" s="19"/>
      <c r="B157" s="19"/>
      <c r="C157" s="19"/>
      <c r="D157" s="19"/>
      <c r="E157" s="19"/>
    </row>
    <row r="158" spans="1:5" x14ac:dyDescent="0.35">
      <c r="A158" s="19"/>
      <c r="B158" s="19"/>
      <c r="C158" s="19"/>
      <c r="D158" s="19"/>
      <c r="E158" s="19"/>
    </row>
    <row r="159" spans="1:5" x14ac:dyDescent="0.35">
      <c r="A159" s="19"/>
      <c r="B159" s="19"/>
      <c r="C159" s="19"/>
      <c r="D159" s="19"/>
      <c r="E159" s="19"/>
    </row>
    <row r="160" spans="1:5" x14ac:dyDescent="0.35">
      <c r="A160" s="19"/>
      <c r="B160" s="19"/>
      <c r="C160" s="19"/>
      <c r="D160" s="19"/>
      <c r="E160" s="19"/>
    </row>
    <row r="161" spans="1:5" x14ac:dyDescent="0.35">
      <c r="A161" s="19"/>
      <c r="B161" s="19"/>
      <c r="C161" s="19"/>
      <c r="D161" s="19"/>
      <c r="E161" s="19"/>
    </row>
    <row r="162" spans="1:5" x14ac:dyDescent="0.35">
      <c r="A162" s="19"/>
      <c r="B162" s="19"/>
      <c r="C162" s="19"/>
      <c r="D162" s="19"/>
      <c r="E162" s="19"/>
    </row>
    <row r="163" spans="1:5" x14ac:dyDescent="0.35">
      <c r="A163" s="19"/>
      <c r="B163" s="19"/>
      <c r="C163" s="19"/>
      <c r="D163" s="19"/>
      <c r="E163" s="19"/>
    </row>
    <row r="164" spans="1:5" x14ac:dyDescent="0.35">
      <c r="A164" s="19"/>
      <c r="B164" s="19"/>
      <c r="C164" s="19"/>
      <c r="D164" s="19"/>
      <c r="E164" s="19"/>
    </row>
    <row r="165" spans="1:5" x14ac:dyDescent="0.35">
      <c r="A165" s="19"/>
      <c r="B165" s="19"/>
      <c r="C165" s="19"/>
      <c r="D165" s="19"/>
      <c r="E165" s="19"/>
    </row>
    <row r="166" spans="1:5" x14ac:dyDescent="0.35">
      <c r="A166" s="19"/>
      <c r="B166" s="19"/>
      <c r="C166" s="19"/>
      <c r="D166" s="19"/>
      <c r="E166" s="19"/>
    </row>
    <row r="167" spans="1:5" x14ac:dyDescent="0.35">
      <c r="A167" s="19"/>
      <c r="B167" s="19"/>
      <c r="C167" s="19"/>
      <c r="D167" s="19"/>
      <c r="E167" s="19"/>
    </row>
    <row r="168" spans="1:5" x14ac:dyDescent="0.35">
      <c r="A168" s="19"/>
      <c r="B168" s="19"/>
      <c r="C168" s="19"/>
      <c r="D168" s="19"/>
      <c r="E168" s="19"/>
    </row>
    <row r="169" spans="1:5" x14ac:dyDescent="0.35">
      <c r="A169" s="19"/>
      <c r="B169" s="19"/>
      <c r="C169" s="19"/>
      <c r="D169" s="19"/>
      <c r="E169" s="19"/>
    </row>
    <row r="170" spans="1:5" x14ac:dyDescent="0.35">
      <c r="A170" s="19"/>
      <c r="B170" s="19"/>
      <c r="C170" s="19"/>
      <c r="D170" s="19"/>
      <c r="E170" s="19"/>
    </row>
    <row r="171" spans="1:5" x14ac:dyDescent="0.35">
      <c r="A171" s="19"/>
      <c r="B171" s="19"/>
      <c r="C171" s="19"/>
      <c r="D171" s="19"/>
      <c r="E171" s="19"/>
    </row>
    <row r="172" spans="1:5" x14ac:dyDescent="0.35">
      <c r="A172" s="19"/>
      <c r="B172" s="19"/>
      <c r="C172" s="19"/>
      <c r="D172" s="19"/>
      <c r="E172" s="19"/>
    </row>
    <row r="173" spans="1:5" x14ac:dyDescent="0.35">
      <c r="A173" s="19"/>
      <c r="B173" s="19"/>
      <c r="C173" s="19"/>
      <c r="D173" s="19"/>
      <c r="E173" s="19"/>
    </row>
    <row r="174" spans="1:5" x14ac:dyDescent="0.35">
      <c r="A174" s="19"/>
      <c r="B174" s="19"/>
      <c r="C174" s="19"/>
      <c r="D174" s="19"/>
      <c r="E174" s="19"/>
    </row>
    <row r="175" spans="1:5" x14ac:dyDescent="0.35">
      <c r="A175" s="19"/>
      <c r="B175" s="19"/>
      <c r="C175" s="19"/>
      <c r="D175" s="19"/>
      <c r="E175" s="19"/>
    </row>
    <row r="176" spans="1:5" x14ac:dyDescent="0.35">
      <c r="A176" s="19"/>
      <c r="B176" s="19"/>
      <c r="C176" s="19"/>
      <c r="D176" s="19"/>
      <c r="E176" s="19"/>
    </row>
    <row r="177" spans="1:5" x14ac:dyDescent="0.35">
      <c r="A177" s="19"/>
      <c r="B177" s="19"/>
      <c r="C177" s="19"/>
      <c r="D177" s="19"/>
      <c r="E177" s="19"/>
    </row>
    <row r="178" spans="1:5" x14ac:dyDescent="0.35">
      <c r="A178" s="19"/>
      <c r="B178" s="19"/>
      <c r="C178" s="19"/>
      <c r="D178" s="19"/>
      <c r="E178" s="19"/>
    </row>
  </sheetData>
  <mergeCells count="3">
    <mergeCell ref="A8:B9"/>
    <mergeCell ref="A68:B69"/>
    <mergeCell ref="A127:B128"/>
  </mergeCells>
  <pageMargins left="0.75" right="0.75" top="1" bottom="1" header="0.5" footer="0.5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4"/>
  <sheetViews>
    <sheetView topLeftCell="A23" zoomScale="115" zoomScaleNormal="115" workbookViewId="0">
      <selection activeCell="A14" sqref="A14"/>
    </sheetView>
  </sheetViews>
  <sheetFormatPr defaultRowHeight="14.5" x14ac:dyDescent="0.35"/>
  <cols>
    <col min="1" max="4" width="20" customWidth="1"/>
  </cols>
  <sheetData>
    <row r="1" spans="1:9" x14ac:dyDescent="0.35">
      <c r="A1" s="36" t="s">
        <v>84</v>
      </c>
      <c r="B1" s="37"/>
      <c r="C1" s="19"/>
      <c r="D1" s="19"/>
      <c r="E1" s="19"/>
      <c r="F1" s="19"/>
      <c r="G1" s="19"/>
      <c r="H1" s="19"/>
      <c r="I1" s="19"/>
    </row>
    <row r="2" spans="1:9" x14ac:dyDescent="0.35">
      <c r="A2" s="37"/>
      <c r="B2" s="37"/>
      <c r="C2" s="19"/>
      <c r="D2" s="19"/>
      <c r="E2" s="19"/>
      <c r="F2" s="19"/>
      <c r="G2" s="19"/>
      <c r="H2" s="19"/>
      <c r="I2" s="19"/>
    </row>
    <row r="3" spans="1:9" x14ac:dyDescent="0.35">
      <c r="A3" s="37" t="s">
        <v>45</v>
      </c>
      <c r="B3" s="37">
        <f>INDEX(podaci!A2:A51,MATCH(MAX(podaci!B2:B51),podaci!B2:B51,0))</f>
        <v>23</v>
      </c>
      <c r="C3" s="19"/>
      <c r="D3" s="19"/>
      <c r="E3" s="19"/>
      <c r="F3" s="19"/>
      <c r="G3" s="19"/>
      <c r="H3" s="19"/>
      <c r="I3" s="19"/>
    </row>
    <row r="4" spans="1:9" x14ac:dyDescent="0.35">
      <c r="A4" s="37" t="s">
        <v>46</v>
      </c>
      <c r="B4" s="37">
        <f>INDEX(podaci!A2:A51,MATCH(MIN(podaci!B2:B51),podaci!B2:B51,0))</f>
        <v>34</v>
      </c>
      <c r="C4" s="19"/>
      <c r="D4" s="19"/>
      <c r="E4" s="19"/>
      <c r="F4" s="19"/>
      <c r="G4" s="19"/>
      <c r="H4" s="19"/>
      <c r="I4" s="19"/>
    </row>
    <row r="5" spans="1:9" x14ac:dyDescent="0.35">
      <c r="A5" s="37" t="s">
        <v>47</v>
      </c>
      <c r="B5" s="37">
        <f>MATCH(B3,podaci!A2:A51,0)+1</f>
        <v>24</v>
      </c>
      <c r="C5" s="19"/>
      <c r="D5" s="19"/>
      <c r="E5" s="19"/>
      <c r="F5" s="19"/>
      <c r="G5" s="19"/>
      <c r="H5" s="19"/>
      <c r="I5" s="19"/>
    </row>
    <row r="6" spans="1:9" x14ac:dyDescent="0.35">
      <c r="A6" s="37" t="s">
        <v>48</v>
      </c>
      <c r="B6" s="37">
        <f>MATCH(B4,podaci!A2:A51,0)+1</f>
        <v>35</v>
      </c>
      <c r="C6" s="19"/>
      <c r="D6" s="19"/>
      <c r="E6" s="19"/>
      <c r="F6" s="19"/>
      <c r="G6" s="19"/>
      <c r="H6" s="19"/>
      <c r="I6" s="19"/>
    </row>
    <row r="7" spans="1:9" x14ac:dyDescent="0.35">
      <c r="A7" s="69" t="s">
        <v>98</v>
      </c>
      <c r="B7" s="69"/>
      <c r="C7" s="18"/>
      <c r="D7" s="18"/>
      <c r="E7" s="18"/>
      <c r="F7" s="18"/>
      <c r="G7" s="18"/>
      <c r="H7" s="18"/>
      <c r="I7" s="18"/>
    </row>
    <row r="8" spans="1:9" x14ac:dyDescent="0.35">
      <c r="A8" s="69"/>
      <c r="B8" s="69"/>
      <c r="C8" s="18"/>
      <c r="D8" s="18"/>
      <c r="E8" s="18"/>
      <c r="F8" s="18"/>
      <c r="G8" s="18"/>
      <c r="H8" s="18"/>
      <c r="I8" s="18"/>
    </row>
    <row r="9" spans="1:9" x14ac:dyDescent="0.35">
      <c r="A9" s="6" t="s">
        <v>21</v>
      </c>
      <c r="B9" s="6" t="s">
        <v>49</v>
      </c>
      <c r="C9" s="6" t="s">
        <v>50</v>
      </c>
      <c r="D9" s="6" t="s">
        <v>43</v>
      </c>
      <c r="E9" s="19"/>
      <c r="F9" s="19"/>
      <c r="G9" s="19"/>
      <c r="H9" s="19"/>
      <c r="I9" s="19"/>
    </row>
    <row r="10" spans="1:9" x14ac:dyDescent="0.35">
      <c r="A10" t="s">
        <v>51</v>
      </c>
      <c r="B10" s="1">
        <f ca="1">INDIRECT("podaci!A"&amp;B5)</f>
        <v>23</v>
      </c>
      <c r="C10" s="2">
        <f ca="1">INDIRECT("podaci!A"&amp;B6)</f>
        <v>34</v>
      </c>
      <c r="E10" s="19"/>
      <c r="F10" s="19"/>
      <c r="G10" s="19"/>
      <c r="H10" s="19"/>
      <c r="I10" s="19"/>
    </row>
    <row r="11" spans="1:9" x14ac:dyDescent="0.35">
      <c r="A11" t="s">
        <v>97</v>
      </c>
      <c r="B11" s="34">
        <f ca="1">INDIRECT("podaci!B"&amp;B5)</f>
        <v>96.42</v>
      </c>
      <c r="C11" s="35">
        <f ca="1">INDIRECT("podaci!B"&amp;B6)</f>
        <v>93.68</v>
      </c>
      <c r="D11" s="33">
        <f t="shared" ref="D11:D18" ca="1" si="0">B11-C11</f>
        <v>2.7399999999999949</v>
      </c>
      <c r="E11" s="19"/>
      <c r="F11" s="19"/>
      <c r="G11" s="19"/>
      <c r="H11" s="19"/>
      <c r="I11" s="19"/>
    </row>
    <row r="12" spans="1:9" x14ac:dyDescent="0.35">
      <c r="A12" t="s">
        <v>108</v>
      </c>
      <c r="B12" s="34">
        <f ca="1">INDIRECT("podaci!C"&amp;B5)</f>
        <v>97.62</v>
      </c>
      <c r="C12" s="35">
        <f ca="1">INDIRECT("podaci!C"&amp;B6)</f>
        <v>97.77</v>
      </c>
      <c r="D12" s="33">
        <f t="shared" ca="1" si="0"/>
        <v>-0.14999999999999147</v>
      </c>
      <c r="E12" s="19"/>
      <c r="F12" s="19"/>
      <c r="G12" s="19"/>
      <c r="H12" s="19"/>
      <c r="I12" s="19"/>
    </row>
    <row r="13" spans="1:9" x14ac:dyDescent="0.35">
      <c r="A13" t="s">
        <v>109</v>
      </c>
      <c r="B13" s="34">
        <f ca="1">INDIRECT("podaci!D"&amp;B5)</f>
        <v>96.75</v>
      </c>
      <c r="C13" s="35">
        <f ca="1">INDIRECT("podaci!D"&amp;B6)</f>
        <v>96.56</v>
      </c>
      <c r="D13" s="33">
        <f t="shared" ca="1" si="0"/>
        <v>0.18999999999999773</v>
      </c>
      <c r="E13" s="19"/>
      <c r="F13" s="19"/>
      <c r="G13" s="19"/>
      <c r="H13" s="19"/>
      <c r="I13" s="19"/>
    </row>
    <row r="14" spans="1:9" x14ac:dyDescent="0.35">
      <c r="A14" t="s">
        <v>110</v>
      </c>
      <c r="B14" s="34">
        <f ca="1">INDIRECT("podaci!E"&amp;B5)</f>
        <v>96.89</v>
      </c>
      <c r="C14" s="35">
        <f ca="1">INDIRECT("podaci!E"&amp;B6)</f>
        <v>94.27</v>
      </c>
      <c r="D14" s="33">
        <f t="shared" ca="1" si="0"/>
        <v>2.6200000000000045</v>
      </c>
      <c r="E14" s="19"/>
      <c r="F14" s="19"/>
      <c r="G14" s="19"/>
      <c r="H14" s="19"/>
      <c r="I14" s="19"/>
    </row>
    <row r="15" spans="1:9" x14ac:dyDescent="0.35">
      <c r="A15" t="s">
        <v>111</v>
      </c>
      <c r="B15" s="34">
        <f ca="1">INDIRECT("podaci!F"&amp;B5)</f>
        <v>89.3</v>
      </c>
      <c r="C15" s="35">
        <f ca="1">INDIRECT("podaci!F"&amp;B6)</f>
        <v>73.59</v>
      </c>
      <c r="D15" s="33">
        <f t="shared" ca="1" si="0"/>
        <v>15.709999999999994</v>
      </c>
      <c r="E15" s="19"/>
      <c r="F15" s="19"/>
      <c r="G15" s="19"/>
      <c r="H15" s="19"/>
      <c r="I15" s="19"/>
    </row>
    <row r="16" spans="1:9" x14ac:dyDescent="0.35">
      <c r="A16" t="s">
        <v>52</v>
      </c>
      <c r="B16" s="34">
        <f ca="1">INDIRECT("podaci!I"&amp;B5)</f>
        <v>7.5900000000000034</v>
      </c>
      <c r="C16" s="35">
        <f ca="1">INDIRECT("podaci!I"&amp;B6)</f>
        <v>20.679999999999993</v>
      </c>
      <c r="D16" s="33">
        <f t="shared" ca="1" si="0"/>
        <v>-13.089999999999989</v>
      </c>
      <c r="E16" s="19"/>
      <c r="F16" s="19"/>
      <c r="G16" s="19"/>
      <c r="H16" s="19"/>
      <c r="I16" s="19"/>
    </row>
    <row r="17" spans="1:9" x14ac:dyDescent="0.35">
      <c r="A17" t="s">
        <v>35</v>
      </c>
      <c r="B17" s="1">
        <f ca="1">INDIRECT("podaci!G"&amp;B5)</f>
        <v>88.328000000000003</v>
      </c>
      <c r="C17" s="2">
        <f ca="1">INDIRECT("podaci!G"&amp;B6)</f>
        <v>91.188999999999993</v>
      </c>
      <c r="D17">
        <f t="shared" ca="1" si="0"/>
        <v>-2.86099999999999</v>
      </c>
      <c r="E17" s="19"/>
      <c r="F17" s="19"/>
      <c r="G17" s="19"/>
      <c r="H17" s="19"/>
      <c r="I17" s="19"/>
    </row>
    <row r="18" spans="1:9" x14ac:dyDescent="0.35">
      <c r="A18" t="s">
        <v>36</v>
      </c>
      <c r="B18" s="1">
        <f ca="1">INDIRECT("podaci!H"&amp;B5)</f>
        <v>0.697654</v>
      </c>
      <c r="C18" s="2">
        <f ca="1">INDIRECT("podaci!H"&amp;B6)</f>
        <v>1.3895740000000001</v>
      </c>
      <c r="D18">
        <f t="shared" ca="1" si="0"/>
        <v>-0.69192000000000009</v>
      </c>
      <c r="E18" s="19"/>
      <c r="F18" s="19"/>
      <c r="G18" s="19"/>
      <c r="H18" s="19"/>
      <c r="I18" s="19"/>
    </row>
    <row r="19" spans="1:9" x14ac:dyDescent="0.35">
      <c r="A19" s="19"/>
      <c r="B19" s="19"/>
      <c r="C19" s="19"/>
      <c r="D19" s="19"/>
      <c r="E19" s="19"/>
      <c r="F19" s="19"/>
      <c r="G19" s="19"/>
      <c r="H19" s="19"/>
      <c r="I19" s="19"/>
    </row>
    <row r="20" spans="1:9" x14ac:dyDescent="0.35">
      <c r="A20" s="19"/>
      <c r="B20" s="19"/>
      <c r="C20" s="19"/>
      <c r="D20" s="19"/>
      <c r="E20" s="19"/>
      <c r="F20" s="19"/>
      <c r="G20" s="19"/>
      <c r="H20" s="19"/>
      <c r="I20" s="19"/>
    </row>
    <row r="21" spans="1:9" x14ac:dyDescent="0.35">
      <c r="A21" s="19"/>
      <c r="B21" s="19"/>
      <c r="C21" s="19"/>
      <c r="D21" s="19"/>
      <c r="E21" s="19"/>
      <c r="F21" s="19"/>
      <c r="G21" s="19"/>
      <c r="H21" s="19"/>
      <c r="I21" s="19"/>
    </row>
    <row r="22" spans="1:9" x14ac:dyDescent="0.35">
      <c r="A22" s="19"/>
      <c r="B22" s="19"/>
      <c r="C22" s="19"/>
      <c r="D22" s="19"/>
      <c r="E22" s="19"/>
      <c r="F22" s="19"/>
      <c r="G22" s="19"/>
      <c r="H22" s="19"/>
      <c r="I22" s="19"/>
    </row>
    <row r="23" spans="1:9" x14ac:dyDescent="0.35">
      <c r="A23" s="19"/>
      <c r="B23" s="19"/>
      <c r="C23" s="19"/>
      <c r="D23" s="19"/>
      <c r="E23" s="19"/>
      <c r="F23" s="19"/>
      <c r="G23" s="19"/>
      <c r="H23" s="19"/>
      <c r="I23" s="19"/>
    </row>
    <row r="24" spans="1:9" x14ac:dyDescent="0.35">
      <c r="A24" s="19"/>
      <c r="B24" s="19"/>
      <c r="C24" s="19"/>
      <c r="D24" s="19"/>
      <c r="E24" s="19"/>
      <c r="F24" s="19"/>
      <c r="G24" s="19"/>
      <c r="H24" s="19"/>
      <c r="I24" s="19"/>
    </row>
    <row r="25" spans="1:9" x14ac:dyDescent="0.35">
      <c r="A25" s="19"/>
      <c r="B25" s="19"/>
      <c r="C25" s="19"/>
      <c r="D25" s="19"/>
      <c r="E25" s="19"/>
      <c r="F25" s="19"/>
      <c r="G25" s="19"/>
      <c r="H25" s="19"/>
      <c r="I25" s="19"/>
    </row>
    <row r="26" spans="1:9" x14ac:dyDescent="0.35">
      <c r="A26" s="19"/>
      <c r="B26" s="19"/>
      <c r="C26" s="19"/>
      <c r="D26" s="19"/>
      <c r="E26" s="19"/>
      <c r="F26" s="19"/>
      <c r="G26" s="19"/>
      <c r="H26" s="19"/>
      <c r="I26" s="19"/>
    </row>
    <row r="27" spans="1:9" x14ac:dyDescent="0.35">
      <c r="A27" s="19"/>
      <c r="B27" s="19"/>
      <c r="C27" s="19"/>
      <c r="D27" s="19"/>
      <c r="E27" s="19"/>
      <c r="F27" s="19"/>
      <c r="G27" s="19"/>
      <c r="H27" s="19"/>
      <c r="I27" s="19"/>
    </row>
    <row r="28" spans="1:9" x14ac:dyDescent="0.35">
      <c r="A28" s="19"/>
      <c r="B28" s="19"/>
      <c r="C28" s="19"/>
      <c r="D28" s="19"/>
      <c r="E28" s="19"/>
      <c r="F28" s="19"/>
      <c r="G28" s="19"/>
      <c r="H28" s="19"/>
      <c r="I28" s="19"/>
    </row>
    <row r="29" spans="1:9" x14ac:dyDescent="0.35">
      <c r="A29" s="19"/>
      <c r="B29" s="19"/>
      <c r="C29" s="19"/>
      <c r="D29" s="19"/>
      <c r="E29" s="19"/>
      <c r="F29" s="19"/>
      <c r="G29" s="19"/>
      <c r="H29" s="19"/>
      <c r="I29" s="19"/>
    </row>
    <row r="30" spans="1:9" x14ac:dyDescent="0.35">
      <c r="A30" s="19"/>
      <c r="B30" s="19"/>
      <c r="C30" s="19"/>
      <c r="D30" s="19"/>
      <c r="E30" s="19"/>
      <c r="F30" s="19"/>
      <c r="G30" s="19"/>
      <c r="H30" s="19"/>
      <c r="I30" s="19"/>
    </row>
    <row r="31" spans="1:9" x14ac:dyDescent="0.35">
      <c r="A31" s="19"/>
      <c r="B31" s="19"/>
      <c r="C31" s="19"/>
      <c r="D31" s="19"/>
      <c r="E31" s="19"/>
      <c r="F31" s="19"/>
      <c r="G31" s="19"/>
      <c r="H31" s="19"/>
      <c r="I31" s="19"/>
    </row>
    <row r="32" spans="1:9" x14ac:dyDescent="0.35">
      <c r="A32" s="19"/>
      <c r="B32" s="19"/>
      <c r="C32" s="19"/>
      <c r="D32" s="19"/>
      <c r="E32" s="19"/>
      <c r="F32" s="19"/>
      <c r="G32" s="19"/>
      <c r="H32" s="19"/>
      <c r="I32" s="19"/>
    </row>
    <row r="33" spans="1:9" x14ac:dyDescent="0.35">
      <c r="A33" s="19"/>
      <c r="B33" s="19"/>
      <c r="C33" s="19"/>
      <c r="D33" s="19"/>
      <c r="E33" s="19"/>
      <c r="F33" s="19"/>
      <c r="G33" s="19"/>
      <c r="H33" s="19"/>
      <c r="I33" s="19"/>
    </row>
    <row r="34" spans="1:9" x14ac:dyDescent="0.35">
      <c r="A34" s="19"/>
      <c r="B34" s="19"/>
      <c r="C34" s="19"/>
      <c r="D34" s="19"/>
      <c r="E34" s="19"/>
      <c r="F34" s="19"/>
      <c r="G34" s="19"/>
      <c r="H34" s="19"/>
      <c r="I34" s="19"/>
    </row>
    <row r="35" spans="1:9" x14ac:dyDescent="0.35">
      <c r="A35" s="19"/>
      <c r="B35" s="19"/>
      <c r="C35" s="19"/>
      <c r="D35" s="19"/>
      <c r="E35" s="19"/>
      <c r="F35" s="19"/>
      <c r="G35" s="19"/>
      <c r="H35" s="19"/>
      <c r="I35" s="19"/>
    </row>
    <row r="36" spans="1:9" x14ac:dyDescent="0.35">
      <c r="A36" s="19"/>
      <c r="B36" s="19"/>
      <c r="C36" s="19"/>
      <c r="D36" s="19"/>
      <c r="E36" s="19"/>
      <c r="F36" s="19"/>
      <c r="G36" s="19"/>
      <c r="H36" s="19"/>
      <c r="I36" s="19"/>
    </row>
    <row r="37" spans="1:9" x14ac:dyDescent="0.35">
      <c r="A37" s="19"/>
      <c r="B37" s="19"/>
      <c r="C37" s="19"/>
      <c r="D37" s="19"/>
      <c r="E37" s="19"/>
      <c r="F37" s="19"/>
      <c r="G37" s="19"/>
      <c r="H37" s="19"/>
      <c r="I37" s="19"/>
    </row>
    <row r="38" spans="1:9" x14ac:dyDescent="0.35">
      <c r="A38" s="19"/>
      <c r="B38" s="19"/>
      <c r="C38" s="19"/>
      <c r="D38" s="19"/>
      <c r="E38" s="19"/>
      <c r="F38" s="19"/>
      <c r="G38" s="19"/>
      <c r="H38" s="19"/>
      <c r="I38" s="19"/>
    </row>
    <row r="39" spans="1:9" x14ac:dyDescent="0.35">
      <c r="A39" s="19"/>
      <c r="B39" s="19"/>
      <c r="C39" s="19"/>
      <c r="D39" s="19"/>
      <c r="E39" s="19"/>
      <c r="F39" s="19"/>
      <c r="G39" s="19"/>
      <c r="H39" s="19"/>
      <c r="I39" s="19"/>
    </row>
    <row r="40" spans="1:9" x14ac:dyDescent="0.35">
      <c r="A40" s="19"/>
      <c r="B40" s="19"/>
      <c r="C40" s="19"/>
      <c r="D40" s="19"/>
      <c r="E40" s="19"/>
      <c r="F40" s="19"/>
      <c r="G40" s="19"/>
      <c r="H40" s="19"/>
      <c r="I40" s="19"/>
    </row>
    <row r="41" spans="1:9" x14ac:dyDescent="0.35">
      <c r="A41" s="19"/>
      <c r="B41" s="19"/>
      <c r="C41" s="19"/>
      <c r="D41" s="19"/>
      <c r="E41" s="19"/>
      <c r="F41" s="19"/>
      <c r="G41" s="19"/>
      <c r="H41" s="19"/>
      <c r="I41" s="19"/>
    </row>
    <row r="42" spans="1:9" x14ac:dyDescent="0.35">
      <c r="A42" s="19"/>
      <c r="B42" s="19"/>
      <c r="C42" s="19"/>
      <c r="D42" s="19"/>
      <c r="E42" s="19"/>
      <c r="F42" s="19"/>
      <c r="G42" s="19"/>
      <c r="H42" s="19"/>
      <c r="I42" s="19"/>
    </row>
    <row r="43" spans="1:9" x14ac:dyDescent="0.35">
      <c r="A43" s="19"/>
      <c r="B43" s="19"/>
      <c r="C43" s="19"/>
      <c r="D43" s="19"/>
      <c r="E43" s="19"/>
      <c r="F43" s="19"/>
      <c r="G43" s="19"/>
      <c r="H43" s="19"/>
      <c r="I43" s="19"/>
    </row>
    <row r="44" spans="1:9" x14ac:dyDescent="0.35">
      <c r="A44" s="19"/>
      <c r="B44" s="19"/>
      <c r="C44" s="19"/>
      <c r="D44" s="19"/>
      <c r="E44" s="19"/>
      <c r="F44" s="19"/>
      <c r="G44" s="19"/>
      <c r="H44" s="19"/>
      <c r="I44" s="19"/>
    </row>
    <row r="45" spans="1:9" x14ac:dyDescent="0.35">
      <c r="A45" s="19"/>
      <c r="B45" s="19"/>
      <c r="C45" s="19"/>
      <c r="D45" s="19"/>
      <c r="E45" s="19"/>
      <c r="F45" s="19"/>
      <c r="G45" s="19"/>
      <c r="H45" s="19"/>
      <c r="I45" s="19"/>
    </row>
    <row r="46" spans="1:9" x14ac:dyDescent="0.35">
      <c r="A46" s="19"/>
      <c r="B46" s="19"/>
      <c r="C46" s="19"/>
      <c r="D46" s="19"/>
      <c r="E46" s="19"/>
      <c r="F46" s="19"/>
      <c r="G46" s="19"/>
      <c r="H46" s="19"/>
      <c r="I46" s="19"/>
    </row>
    <row r="47" spans="1:9" x14ac:dyDescent="0.35">
      <c r="A47" s="19"/>
      <c r="B47" s="19"/>
      <c r="C47" s="19"/>
      <c r="D47" s="19"/>
      <c r="E47" s="19"/>
      <c r="F47" s="19"/>
      <c r="G47" s="19"/>
      <c r="H47" s="19"/>
      <c r="I47" s="19"/>
    </row>
    <row r="48" spans="1:9" x14ac:dyDescent="0.35">
      <c r="A48" s="19"/>
      <c r="B48" s="19"/>
      <c r="C48" s="19"/>
      <c r="D48" s="19"/>
      <c r="E48" s="19"/>
      <c r="F48" s="19"/>
      <c r="G48" s="19"/>
      <c r="H48" s="19"/>
      <c r="I48" s="19"/>
    </row>
    <row r="49" spans="1:9" x14ac:dyDescent="0.35">
      <c r="A49" s="19"/>
      <c r="B49" s="19"/>
      <c r="C49" s="19"/>
      <c r="D49" s="19"/>
      <c r="E49" s="19"/>
      <c r="F49" s="19"/>
      <c r="G49" s="19"/>
      <c r="H49" s="19"/>
      <c r="I49" s="19"/>
    </row>
    <row r="50" spans="1:9" x14ac:dyDescent="0.35">
      <c r="A50" s="19"/>
      <c r="B50" s="19"/>
      <c r="C50" s="19"/>
      <c r="D50" s="19"/>
      <c r="E50" s="19"/>
      <c r="F50" s="19"/>
      <c r="G50" s="19"/>
      <c r="H50" s="19"/>
      <c r="I50" s="19"/>
    </row>
    <row r="51" spans="1:9" x14ac:dyDescent="0.35">
      <c r="A51" s="19"/>
      <c r="B51" s="19"/>
      <c r="C51" s="19"/>
      <c r="D51" s="19"/>
      <c r="E51" s="19"/>
      <c r="F51" s="19"/>
      <c r="G51" s="19"/>
      <c r="H51" s="19"/>
      <c r="I51" s="19"/>
    </row>
    <row r="52" spans="1:9" x14ac:dyDescent="0.35">
      <c r="A52" s="19"/>
      <c r="B52" s="19"/>
      <c r="C52" s="19"/>
      <c r="D52" s="19"/>
      <c r="E52" s="19"/>
      <c r="F52" s="19"/>
      <c r="G52" s="19"/>
      <c r="H52" s="19"/>
      <c r="I52" s="19"/>
    </row>
    <row r="53" spans="1:9" x14ac:dyDescent="0.35">
      <c r="A53" s="19"/>
      <c r="B53" s="19"/>
      <c r="C53" s="19"/>
      <c r="D53" s="19"/>
      <c r="E53" s="19"/>
      <c r="F53" s="19"/>
      <c r="G53" s="19"/>
      <c r="H53" s="19"/>
      <c r="I53" s="19"/>
    </row>
    <row r="54" spans="1:9" x14ac:dyDescent="0.35">
      <c r="A54" s="19"/>
      <c r="B54" s="19"/>
      <c r="C54" s="19"/>
      <c r="D54" s="19"/>
      <c r="E54" s="19"/>
      <c r="F54" s="19"/>
      <c r="G54" s="19"/>
      <c r="H54" s="19"/>
      <c r="I54" s="19"/>
    </row>
    <row r="55" spans="1:9" x14ac:dyDescent="0.35">
      <c r="A55" s="19"/>
      <c r="B55" s="19"/>
      <c r="C55" s="19"/>
      <c r="D55" s="19"/>
      <c r="E55" s="19"/>
      <c r="F55" s="19"/>
      <c r="G55" s="19"/>
      <c r="H55" s="19"/>
      <c r="I55" s="19"/>
    </row>
    <row r="56" spans="1:9" x14ac:dyDescent="0.35">
      <c r="A56" s="19"/>
      <c r="B56" s="19"/>
      <c r="C56" s="19"/>
      <c r="D56" s="19"/>
      <c r="E56" s="19"/>
      <c r="F56" s="19"/>
      <c r="G56" s="19"/>
      <c r="H56" s="19"/>
      <c r="I56" s="19"/>
    </row>
    <row r="57" spans="1:9" x14ac:dyDescent="0.35">
      <c r="A57" s="19"/>
      <c r="B57" s="19"/>
      <c r="C57" s="19"/>
      <c r="D57" s="19"/>
      <c r="E57" s="19"/>
      <c r="F57" s="19"/>
      <c r="G57" s="19"/>
      <c r="H57" s="19"/>
      <c r="I57" s="19"/>
    </row>
    <row r="58" spans="1:9" x14ac:dyDescent="0.35">
      <c r="A58" s="19"/>
      <c r="B58" s="19"/>
      <c r="C58" s="19"/>
      <c r="D58" s="19"/>
      <c r="E58" s="19"/>
      <c r="F58" s="19"/>
      <c r="G58" s="19"/>
      <c r="H58" s="19"/>
      <c r="I58" s="19"/>
    </row>
    <row r="59" spans="1:9" x14ac:dyDescent="0.35">
      <c r="A59" s="18"/>
      <c r="B59" s="18"/>
      <c r="C59" s="18"/>
      <c r="D59" s="18"/>
      <c r="E59" s="18"/>
      <c r="F59" s="18"/>
      <c r="G59" s="18"/>
      <c r="H59" s="18"/>
      <c r="I59" s="18"/>
    </row>
    <row r="60" spans="1:9" x14ac:dyDescent="0.35">
      <c r="A60" s="38"/>
      <c r="B60" s="18"/>
      <c r="C60" s="18"/>
      <c r="D60" s="18"/>
      <c r="E60" s="18"/>
      <c r="F60" s="18"/>
      <c r="G60" s="18"/>
      <c r="H60" s="18"/>
      <c r="I60" s="18"/>
    </row>
    <row r="61" spans="1:9" x14ac:dyDescent="0.35">
      <c r="A61" s="36" t="s">
        <v>84</v>
      </c>
      <c r="B61" s="37"/>
      <c r="C61" s="19"/>
      <c r="D61" s="19"/>
      <c r="E61" s="19"/>
      <c r="F61" s="19"/>
      <c r="G61" s="19"/>
      <c r="H61" s="19"/>
      <c r="I61" s="19"/>
    </row>
    <row r="62" spans="1:9" x14ac:dyDescent="0.35">
      <c r="A62" s="37"/>
      <c r="B62" s="37"/>
      <c r="C62" s="19"/>
      <c r="D62" s="19"/>
      <c r="E62" s="19"/>
      <c r="F62" s="19"/>
      <c r="G62" s="19"/>
      <c r="H62" s="19"/>
      <c r="I62" s="19"/>
    </row>
    <row r="63" spans="1:9" x14ac:dyDescent="0.35">
      <c r="A63" s="37" t="s">
        <v>45</v>
      </c>
      <c r="B63" s="37">
        <f>INDEX(podaci!A62:A111,MATCH(MAX(podaci!B62:B111),podaci!B62:B111,0))</f>
        <v>48</v>
      </c>
      <c r="C63" s="19"/>
      <c r="D63" s="19"/>
      <c r="E63" s="19"/>
      <c r="F63" s="19"/>
      <c r="G63" s="19"/>
      <c r="H63" s="19"/>
      <c r="I63" s="19"/>
    </row>
    <row r="64" spans="1:9" x14ac:dyDescent="0.35">
      <c r="A64" s="37" t="s">
        <v>46</v>
      </c>
      <c r="B64" s="37">
        <f>INDEX(podaci!A62:A111,MATCH(MIN(podaci!B62:B111),podaci!B62:B111,0))</f>
        <v>49</v>
      </c>
      <c r="C64" s="19"/>
      <c r="D64" s="19"/>
      <c r="E64" s="19"/>
      <c r="F64" s="19"/>
      <c r="G64" s="19"/>
      <c r="H64" s="19"/>
      <c r="I64" s="19"/>
    </row>
    <row r="65" spans="1:9" x14ac:dyDescent="0.35">
      <c r="A65" s="37" t="s">
        <v>47</v>
      </c>
      <c r="B65" s="37">
        <f>MATCH(B63,podaci!A62:A111,0)+61</f>
        <v>109</v>
      </c>
      <c r="C65" s="19"/>
      <c r="D65" s="19"/>
      <c r="E65" s="19"/>
      <c r="F65" s="19"/>
      <c r="G65" s="19"/>
      <c r="H65" s="19"/>
      <c r="I65" s="19"/>
    </row>
    <row r="66" spans="1:9" x14ac:dyDescent="0.35">
      <c r="A66" s="37" t="s">
        <v>48</v>
      </c>
      <c r="B66" s="37">
        <f>MATCH(B64,podaci!A62:A111,0)+61</f>
        <v>110</v>
      </c>
      <c r="C66" s="19"/>
      <c r="D66" s="19"/>
      <c r="E66" s="19"/>
      <c r="F66" s="19"/>
      <c r="G66" s="19"/>
      <c r="H66" s="19"/>
      <c r="I66" s="19"/>
    </row>
    <row r="67" spans="1:9" x14ac:dyDescent="0.35">
      <c r="A67" s="69" t="s">
        <v>102</v>
      </c>
      <c r="B67" s="69"/>
      <c r="C67" s="19"/>
      <c r="D67" s="19"/>
      <c r="E67" s="19"/>
      <c r="F67" s="19"/>
      <c r="G67" s="19"/>
      <c r="H67" s="19"/>
      <c r="I67" s="19"/>
    </row>
    <row r="68" spans="1:9" x14ac:dyDescent="0.35">
      <c r="A68" s="69"/>
      <c r="B68" s="69"/>
      <c r="C68" s="19"/>
      <c r="D68" s="19"/>
      <c r="E68" s="19"/>
      <c r="F68" s="19"/>
      <c r="G68" s="19"/>
      <c r="H68" s="19"/>
      <c r="I68" s="19"/>
    </row>
    <row r="69" spans="1:9" x14ac:dyDescent="0.35">
      <c r="A69" s="6" t="s">
        <v>21</v>
      </c>
      <c r="B69" s="6" t="s">
        <v>49</v>
      </c>
      <c r="C69" s="6" t="s">
        <v>50</v>
      </c>
      <c r="D69" s="6" t="s">
        <v>43</v>
      </c>
      <c r="E69" s="19"/>
      <c r="F69" s="19"/>
      <c r="G69" s="19"/>
      <c r="H69" s="19"/>
      <c r="I69" s="19"/>
    </row>
    <row r="70" spans="1:9" x14ac:dyDescent="0.35">
      <c r="A70" t="s">
        <v>51</v>
      </c>
      <c r="B70" s="1">
        <f ca="1">INDIRECT("podaci!A"&amp;B65)</f>
        <v>48</v>
      </c>
      <c r="C70" s="2">
        <f ca="1">INDIRECT("podaci!A"&amp;B66)</f>
        <v>49</v>
      </c>
      <c r="E70" s="19"/>
      <c r="F70" s="19"/>
      <c r="G70" s="19"/>
      <c r="H70" s="19"/>
      <c r="I70" s="19"/>
    </row>
    <row r="71" spans="1:9" x14ac:dyDescent="0.35">
      <c r="A71" t="s">
        <v>97</v>
      </c>
      <c r="B71" s="34">
        <f ca="1">INDIRECT("podaci!B"&amp;B65)</f>
        <v>95.64</v>
      </c>
      <c r="C71" s="35">
        <f ca="1">INDIRECT("podaci!B"&amp;B66)</f>
        <v>92.3</v>
      </c>
      <c r="D71" s="33">
        <f t="shared" ref="D71:D78" ca="1" si="1">B71-C71</f>
        <v>3.3400000000000034</v>
      </c>
      <c r="E71" s="19"/>
      <c r="F71" s="19"/>
      <c r="G71" s="19"/>
      <c r="H71" s="19"/>
      <c r="I71" s="19"/>
    </row>
    <row r="72" spans="1:9" x14ac:dyDescent="0.35">
      <c r="A72" t="s">
        <v>93</v>
      </c>
      <c r="B72" s="34">
        <f ca="1">INDIRECT("podaci!C"&amp;B65)</f>
        <v>96.85</v>
      </c>
      <c r="C72" s="35">
        <f ca="1">INDIRECT("podaci!C"&amp;B66)</f>
        <v>93.99</v>
      </c>
      <c r="D72" s="33">
        <f t="shared" ca="1" si="1"/>
        <v>2.8599999999999994</v>
      </c>
      <c r="E72" s="19"/>
      <c r="F72" s="19"/>
      <c r="G72" s="19"/>
      <c r="H72" s="19"/>
      <c r="I72" s="19"/>
    </row>
    <row r="73" spans="1:9" x14ac:dyDescent="0.35">
      <c r="A73" t="s">
        <v>94</v>
      </c>
      <c r="B73" s="34">
        <f ca="1">INDIRECT("podaci!D"&amp;B65)</f>
        <v>96.72</v>
      </c>
      <c r="C73" s="35">
        <f ca="1">INDIRECT("podaci!D"&amp;B66)</f>
        <v>93.92</v>
      </c>
      <c r="D73" s="33">
        <f t="shared" ca="1" si="1"/>
        <v>2.7999999999999972</v>
      </c>
      <c r="E73" s="19"/>
      <c r="F73" s="19"/>
      <c r="G73" s="19"/>
      <c r="H73" s="19"/>
      <c r="I73" s="19"/>
    </row>
    <row r="74" spans="1:9" x14ac:dyDescent="0.35">
      <c r="A74" t="s">
        <v>95</v>
      </c>
      <c r="B74" s="34">
        <f ca="1">INDIRECT("podaci!E"&amp;B65)</f>
        <v>94.26</v>
      </c>
      <c r="C74" s="35">
        <f ca="1">INDIRECT("podaci!E"&amp;B66)</f>
        <v>93.33</v>
      </c>
      <c r="D74" s="33">
        <f t="shared" ca="1" si="1"/>
        <v>0.93000000000000682</v>
      </c>
      <c r="E74" s="19"/>
      <c r="F74" s="19"/>
      <c r="G74" s="19"/>
      <c r="H74" s="19"/>
      <c r="I74" s="19"/>
    </row>
    <row r="75" spans="1:9" x14ac:dyDescent="0.35">
      <c r="A75" t="s">
        <v>96</v>
      </c>
      <c r="B75" s="34">
        <f ca="1">INDIRECT("podaci!F"&amp;B65)</f>
        <v>92.66</v>
      </c>
      <c r="C75" s="35">
        <f ca="1">INDIRECT("podaci!F"&amp;B66)</f>
        <v>82.19</v>
      </c>
      <c r="D75" s="33">
        <f t="shared" ca="1" si="1"/>
        <v>10.469999999999999</v>
      </c>
      <c r="E75" s="19"/>
      <c r="F75" s="19"/>
      <c r="G75" s="19"/>
      <c r="H75" s="19"/>
      <c r="I75" s="19"/>
    </row>
    <row r="76" spans="1:9" x14ac:dyDescent="0.35">
      <c r="A76" t="s">
        <v>52</v>
      </c>
      <c r="B76" s="34">
        <f ca="1">INDIRECT("podaci!I"&amp;B65)</f>
        <v>1.6000000000000085</v>
      </c>
      <c r="C76" s="35">
        <f ca="1">INDIRECT("podaci!I"&amp;B66)</f>
        <v>11.14</v>
      </c>
      <c r="D76" s="33">
        <f t="shared" ca="1" si="1"/>
        <v>-9.539999999999992</v>
      </c>
      <c r="E76" s="19"/>
      <c r="F76" s="19"/>
      <c r="G76" s="19"/>
      <c r="H76" s="19"/>
      <c r="I76" s="19"/>
    </row>
    <row r="77" spans="1:9" x14ac:dyDescent="0.35">
      <c r="A77" t="s">
        <v>35</v>
      </c>
      <c r="B77" s="1">
        <f ca="1">INDIRECT("podaci!G"&amp;B65)</f>
        <v>112.858</v>
      </c>
      <c r="C77" s="2">
        <f ca="1">INDIRECT("podaci!G"&amp;B66)</f>
        <v>127.259</v>
      </c>
      <c r="D77">
        <f t="shared" ca="1" si="1"/>
        <v>-14.400999999999996</v>
      </c>
      <c r="E77" s="19"/>
      <c r="F77" s="19"/>
      <c r="G77" s="19"/>
      <c r="H77" s="19"/>
      <c r="I77" s="19"/>
    </row>
    <row r="78" spans="1:9" x14ac:dyDescent="0.35">
      <c r="A78" t="s">
        <v>36</v>
      </c>
      <c r="B78" s="1">
        <f ca="1">INDIRECT("podaci!H"&amp;B65)</f>
        <v>0.93480399999999997</v>
      </c>
      <c r="C78" s="2">
        <f ca="1">INDIRECT("podaci!H"&amp;B66)</f>
        <v>1.543024</v>
      </c>
      <c r="D78">
        <f t="shared" ca="1" si="1"/>
        <v>-0.60821999999999998</v>
      </c>
      <c r="E78" s="19"/>
      <c r="F78" s="19"/>
      <c r="G78" s="19"/>
      <c r="H78" s="19"/>
      <c r="I78" s="19"/>
    </row>
    <row r="79" spans="1:9" x14ac:dyDescent="0.35">
      <c r="A79" s="19"/>
      <c r="B79" s="19"/>
      <c r="C79" s="19"/>
      <c r="D79" s="19"/>
      <c r="E79" s="19"/>
      <c r="F79" s="19"/>
      <c r="G79" s="19"/>
      <c r="H79" s="19"/>
      <c r="I79" s="19"/>
    </row>
    <row r="80" spans="1:9" x14ac:dyDescent="0.35">
      <c r="A80" s="19"/>
      <c r="B80" s="19"/>
      <c r="C80" s="19"/>
      <c r="D80" s="19"/>
      <c r="E80" s="19"/>
      <c r="F80" s="19"/>
      <c r="G80" s="19"/>
      <c r="H80" s="19"/>
      <c r="I80" s="19"/>
    </row>
    <row r="81" spans="1:9" x14ac:dyDescent="0.35">
      <c r="A81" s="19"/>
      <c r="B81" s="19"/>
      <c r="C81" s="19"/>
      <c r="D81" s="19"/>
      <c r="E81" s="19"/>
      <c r="F81" s="19"/>
      <c r="G81" s="19"/>
      <c r="H81" s="19"/>
      <c r="I81" s="19"/>
    </row>
    <row r="82" spans="1:9" x14ac:dyDescent="0.35">
      <c r="A82" s="19"/>
      <c r="B82" s="19"/>
      <c r="C82" s="19"/>
      <c r="D82" s="19"/>
      <c r="E82" s="19"/>
      <c r="F82" s="19"/>
      <c r="G82" s="19"/>
      <c r="H82" s="19"/>
      <c r="I82" s="19"/>
    </row>
    <row r="83" spans="1:9" x14ac:dyDescent="0.35">
      <c r="A83" s="19"/>
      <c r="B83" s="19"/>
      <c r="C83" s="19"/>
      <c r="D83" s="19"/>
      <c r="E83" s="19"/>
      <c r="F83" s="19"/>
      <c r="G83" s="19"/>
      <c r="H83" s="19"/>
      <c r="I83" s="19"/>
    </row>
    <row r="84" spans="1:9" x14ac:dyDescent="0.35">
      <c r="A84" s="19"/>
      <c r="B84" s="19"/>
      <c r="C84" s="19"/>
      <c r="D84" s="19"/>
      <c r="E84" s="19"/>
      <c r="F84" s="19"/>
      <c r="G84" s="19"/>
      <c r="H84" s="19"/>
      <c r="I84" s="19"/>
    </row>
    <row r="85" spans="1:9" x14ac:dyDescent="0.35">
      <c r="A85" s="19"/>
      <c r="B85" s="19"/>
      <c r="C85" s="19"/>
      <c r="D85" s="19"/>
      <c r="E85" s="19"/>
      <c r="F85" s="19"/>
      <c r="G85" s="19"/>
      <c r="H85" s="19"/>
      <c r="I85" s="19"/>
    </row>
    <row r="86" spans="1:9" x14ac:dyDescent="0.35">
      <c r="A86" s="19"/>
      <c r="B86" s="19"/>
      <c r="C86" s="19"/>
      <c r="D86" s="19"/>
      <c r="E86" s="19"/>
      <c r="F86" s="19"/>
      <c r="G86" s="19"/>
      <c r="H86" s="19"/>
      <c r="I86" s="19"/>
    </row>
    <row r="87" spans="1:9" x14ac:dyDescent="0.35">
      <c r="A87" s="19"/>
      <c r="B87" s="19"/>
      <c r="C87" s="19"/>
      <c r="D87" s="19"/>
      <c r="E87" s="19"/>
      <c r="F87" s="19"/>
      <c r="G87" s="19"/>
      <c r="H87" s="19"/>
      <c r="I87" s="19"/>
    </row>
    <row r="88" spans="1:9" x14ac:dyDescent="0.35">
      <c r="A88" s="19"/>
      <c r="B88" s="19"/>
      <c r="C88" s="19"/>
      <c r="D88" s="19"/>
      <c r="E88" s="19"/>
      <c r="F88" s="19"/>
      <c r="G88" s="19"/>
      <c r="H88" s="19"/>
      <c r="I88" s="19"/>
    </row>
    <row r="89" spans="1:9" x14ac:dyDescent="0.35">
      <c r="A89" s="19"/>
      <c r="B89" s="19"/>
      <c r="C89" s="19"/>
      <c r="D89" s="19"/>
      <c r="E89" s="19"/>
      <c r="F89" s="19"/>
      <c r="G89" s="19"/>
      <c r="H89" s="19"/>
      <c r="I89" s="19"/>
    </row>
    <row r="90" spans="1:9" x14ac:dyDescent="0.35">
      <c r="A90" s="19"/>
      <c r="B90" s="19"/>
      <c r="C90" s="19"/>
      <c r="D90" s="19"/>
      <c r="E90" s="19"/>
      <c r="F90" s="19"/>
      <c r="G90" s="19"/>
      <c r="H90" s="19"/>
      <c r="I90" s="19"/>
    </row>
    <row r="91" spans="1:9" x14ac:dyDescent="0.35">
      <c r="A91" s="19"/>
      <c r="B91" s="19"/>
      <c r="C91" s="19"/>
      <c r="D91" s="19"/>
      <c r="E91" s="19"/>
      <c r="F91" s="19"/>
      <c r="G91" s="19"/>
      <c r="H91" s="19"/>
      <c r="I91" s="19"/>
    </row>
    <row r="92" spans="1:9" x14ac:dyDescent="0.35">
      <c r="A92" s="19"/>
      <c r="B92" s="19"/>
      <c r="C92" s="19"/>
      <c r="D92" s="19"/>
      <c r="E92" s="19"/>
      <c r="F92" s="19"/>
      <c r="G92" s="19"/>
      <c r="H92" s="19"/>
      <c r="I92" s="19"/>
    </row>
    <row r="93" spans="1:9" x14ac:dyDescent="0.35">
      <c r="A93" s="19"/>
      <c r="B93" s="19"/>
      <c r="C93" s="19"/>
      <c r="D93" s="19"/>
      <c r="E93" s="19"/>
      <c r="F93" s="19"/>
      <c r="G93" s="19"/>
      <c r="H93" s="19"/>
      <c r="I93" s="19"/>
    </row>
    <row r="94" spans="1:9" x14ac:dyDescent="0.35">
      <c r="A94" s="19"/>
      <c r="B94" s="19"/>
      <c r="C94" s="19"/>
      <c r="D94" s="19"/>
      <c r="E94" s="19"/>
      <c r="F94" s="19"/>
      <c r="G94" s="19"/>
      <c r="H94" s="19"/>
      <c r="I94" s="19"/>
    </row>
    <row r="95" spans="1:9" x14ac:dyDescent="0.35">
      <c r="A95" s="19"/>
      <c r="B95" s="19"/>
      <c r="C95" s="19"/>
      <c r="D95" s="19"/>
      <c r="E95" s="19"/>
      <c r="F95" s="19"/>
      <c r="G95" s="19"/>
      <c r="H95" s="19"/>
      <c r="I95" s="19"/>
    </row>
    <row r="96" spans="1:9" x14ac:dyDescent="0.35">
      <c r="A96" s="19"/>
      <c r="B96" s="19"/>
      <c r="C96" s="19"/>
      <c r="D96" s="19"/>
      <c r="E96" s="19"/>
      <c r="F96" s="19"/>
      <c r="G96" s="19"/>
      <c r="H96" s="19"/>
      <c r="I96" s="19"/>
    </row>
    <row r="97" spans="1:9" x14ac:dyDescent="0.35">
      <c r="A97" s="19"/>
      <c r="B97" s="19"/>
      <c r="C97" s="19"/>
      <c r="D97" s="19"/>
      <c r="E97" s="19"/>
      <c r="F97" s="19"/>
      <c r="G97" s="19"/>
      <c r="H97" s="19"/>
      <c r="I97" s="19"/>
    </row>
    <row r="98" spans="1:9" x14ac:dyDescent="0.35">
      <c r="A98" s="19"/>
      <c r="B98" s="19"/>
      <c r="C98" s="19"/>
      <c r="D98" s="19"/>
      <c r="E98" s="19"/>
      <c r="F98" s="19"/>
      <c r="G98" s="19"/>
      <c r="H98" s="19"/>
      <c r="I98" s="19"/>
    </row>
    <row r="99" spans="1:9" x14ac:dyDescent="0.35">
      <c r="A99" s="19"/>
      <c r="B99" s="19"/>
      <c r="C99" s="19"/>
      <c r="D99" s="19"/>
      <c r="E99" s="19"/>
      <c r="F99" s="19"/>
      <c r="G99" s="19"/>
      <c r="H99" s="19"/>
      <c r="I99" s="19"/>
    </row>
    <row r="100" spans="1:9" x14ac:dyDescent="0.35">
      <c r="A100" s="19"/>
      <c r="B100" s="19"/>
      <c r="C100" s="19"/>
      <c r="D100" s="19"/>
      <c r="E100" s="19"/>
      <c r="F100" s="19"/>
      <c r="G100" s="19"/>
      <c r="H100" s="19"/>
      <c r="I100" s="19"/>
    </row>
    <row r="101" spans="1:9" x14ac:dyDescent="0.35">
      <c r="A101" s="19"/>
      <c r="B101" s="19"/>
      <c r="C101" s="19"/>
      <c r="D101" s="19"/>
      <c r="E101" s="19"/>
      <c r="F101" s="19"/>
      <c r="G101" s="19"/>
      <c r="H101" s="19"/>
      <c r="I101" s="19"/>
    </row>
    <row r="102" spans="1:9" x14ac:dyDescent="0.35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9" x14ac:dyDescent="0.35">
      <c r="A103" s="19"/>
      <c r="B103" s="19"/>
      <c r="C103" s="19"/>
      <c r="D103" s="19"/>
      <c r="E103" s="19"/>
      <c r="F103" s="19"/>
      <c r="G103" s="19"/>
      <c r="H103" s="19"/>
      <c r="I103" s="19"/>
    </row>
    <row r="104" spans="1:9" x14ac:dyDescent="0.35">
      <c r="A104" s="19"/>
      <c r="B104" s="19"/>
      <c r="C104" s="19"/>
      <c r="D104" s="19"/>
      <c r="E104" s="19"/>
      <c r="F104" s="19"/>
      <c r="G104" s="19"/>
      <c r="H104" s="19"/>
      <c r="I104" s="19"/>
    </row>
    <row r="105" spans="1:9" x14ac:dyDescent="0.35">
      <c r="A105" s="19"/>
      <c r="B105" s="19"/>
      <c r="C105" s="19"/>
      <c r="D105" s="19"/>
      <c r="E105" s="19"/>
      <c r="F105" s="19"/>
      <c r="G105" s="19"/>
      <c r="H105" s="19"/>
      <c r="I105" s="19"/>
    </row>
    <row r="106" spans="1:9" x14ac:dyDescent="0.35">
      <c r="A106" s="19"/>
      <c r="B106" s="19"/>
      <c r="C106" s="19"/>
      <c r="D106" s="19"/>
      <c r="E106" s="19"/>
      <c r="F106" s="19"/>
      <c r="G106" s="19"/>
      <c r="H106" s="19"/>
      <c r="I106" s="19"/>
    </row>
    <row r="107" spans="1:9" x14ac:dyDescent="0.35">
      <c r="A107" s="19"/>
      <c r="B107" s="19"/>
      <c r="C107" s="19"/>
      <c r="D107" s="19"/>
      <c r="E107" s="19"/>
      <c r="F107" s="19"/>
      <c r="G107" s="19"/>
      <c r="H107" s="19"/>
      <c r="I107" s="19"/>
    </row>
    <row r="108" spans="1:9" x14ac:dyDescent="0.35">
      <c r="A108" s="19"/>
      <c r="B108" s="19"/>
      <c r="C108" s="19"/>
      <c r="D108" s="19"/>
      <c r="E108" s="19"/>
      <c r="F108" s="19"/>
      <c r="G108" s="19"/>
      <c r="H108" s="19"/>
      <c r="I108" s="19"/>
    </row>
    <row r="109" spans="1:9" x14ac:dyDescent="0.35">
      <c r="A109" s="19"/>
      <c r="B109" s="19"/>
      <c r="C109" s="19"/>
      <c r="D109" s="19"/>
      <c r="E109" s="19"/>
      <c r="F109" s="19"/>
      <c r="G109" s="19"/>
      <c r="H109" s="19"/>
      <c r="I109" s="19"/>
    </row>
    <row r="110" spans="1:9" x14ac:dyDescent="0.35">
      <c r="A110" s="19"/>
      <c r="B110" s="19"/>
      <c r="C110" s="19"/>
      <c r="D110" s="19"/>
      <c r="E110" s="19"/>
      <c r="F110" s="19"/>
      <c r="G110" s="19"/>
      <c r="H110" s="19"/>
      <c r="I110" s="19"/>
    </row>
    <row r="111" spans="1:9" x14ac:dyDescent="0.35">
      <c r="A111" s="19"/>
      <c r="B111" s="19"/>
      <c r="C111" s="19"/>
      <c r="D111" s="19"/>
      <c r="E111" s="19"/>
      <c r="F111" s="19"/>
      <c r="G111" s="19"/>
      <c r="H111" s="19"/>
      <c r="I111" s="19"/>
    </row>
    <row r="112" spans="1:9" x14ac:dyDescent="0.35">
      <c r="A112" s="19"/>
      <c r="B112" s="19"/>
      <c r="C112" s="19"/>
      <c r="D112" s="19"/>
      <c r="E112" s="19"/>
      <c r="F112" s="19"/>
      <c r="G112" s="19"/>
      <c r="H112" s="19"/>
      <c r="I112" s="19"/>
    </row>
    <row r="113" spans="1:9" x14ac:dyDescent="0.35">
      <c r="A113" s="19"/>
      <c r="B113" s="19"/>
      <c r="C113" s="19"/>
      <c r="D113" s="19"/>
      <c r="E113" s="19"/>
      <c r="F113" s="19"/>
      <c r="G113" s="19"/>
      <c r="H113" s="19"/>
      <c r="I113" s="19"/>
    </row>
    <row r="114" spans="1:9" x14ac:dyDescent="0.35">
      <c r="A114" s="19"/>
      <c r="B114" s="19"/>
      <c r="C114" s="19"/>
      <c r="D114" s="19"/>
      <c r="E114" s="19"/>
      <c r="F114" s="19"/>
      <c r="G114" s="19"/>
      <c r="H114" s="19"/>
      <c r="I114" s="19"/>
    </row>
    <row r="115" spans="1:9" x14ac:dyDescent="0.35">
      <c r="A115" s="19"/>
      <c r="B115" s="19"/>
      <c r="C115" s="19"/>
      <c r="D115" s="19"/>
      <c r="E115" s="19"/>
      <c r="F115" s="19"/>
      <c r="G115" s="19"/>
      <c r="H115" s="19"/>
      <c r="I115" s="19"/>
    </row>
    <row r="116" spans="1:9" x14ac:dyDescent="0.35">
      <c r="A116" s="19"/>
      <c r="B116" s="19"/>
      <c r="C116" s="19"/>
      <c r="D116" s="19"/>
      <c r="E116" s="19"/>
      <c r="F116" s="19"/>
      <c r="G116" s="19"/>
      <c r="H116" s="19"/>
      <c r="I116" s="19"/>
    </row>
    <row r="117" spans="1:9" x14ac:dyDescent="0.35">
      <c r="A117" s="19"/>
      <c r="B117" s="19"/>
      <c r="C117" s="19"/>
      <c r="D117" s="19"/>
      <c r="E117" s="19"/>
      <c r="F117" s="19"/>
      <c r="G117" s="19"/>
      <c r="H117" s="19"/>
      <c r="I117" s="19"/>
    </row>
    <row r="118" spans="1:9" x14ac:dyDescent="0.35">
      <c r="A118" s="18"/>
      <c r="B118" s="18"/>
      <c r="C118" s="18"/>
      <c r="D118" s="18"/>
      <c r="E118" s="18"/>
      <c r="F118" s="18"/>
      <c r="G118" s="18"/>
      <c r="H118" s="18"/>
      <c r="I118" s="18"/>
    </row>
    <row r="119" spans="1:9" x14ac:dyDescent="0.35">
      <c r="A119" s="18"/>
      <c r="B119" s="18"/>
      <c r="C119" s="18"/>
      <c r="D119" s="18"/>
      <c r="E119" s="18"/>
      <c r="F119" s="18"/>
      <c r="G119" s="18"/>
      <c r="H119" s="18"/>
      <c r="I119" s="18"/>
    </row>
    <row r="120" spans="1:9" x14ac:dyDescent="0.35">
      <c r="A120" s="36" t="s">
        <v>84</v>
      </c>
      <c r="B120" s="37"/>
      <c r="C120" s="19"/>
      <c r="D120" s="19"/>
      <c r="E120" s="19"/>
      <c r="F120" s="19"/>
      <c r="G120" s="19"/>
      <c r="H120" s="19"/>
      <c r="I120" s="19"/>
    </row>
    <row r="121" spans="1:9" x14ac:dyDescent="0.35">
      <c r="A121" s="37"/>
      <c r="B121" s="37"/>
      <c r="C121" s="19"/>
      <c r="D121" s="19"/>
      <c r="E121" s="19"/>
      <c r="F121" s="19"/>
      <c r="G121" s="19"/>
      <c r="H121" s="19"/>
      <c r="I121" s="19"/>
    </row>
    <row r="122" spans="1:9" x14ac:dyDescent="0.35">
      <c r="A122" s="37" t="s">
        <v>45</v>
      </c>
      <c r="B122" s="37">
        <f>INDEX(podaci!A121:A170,MATCH(MAX(podaci!B121:B170),podaci!B121:B170,0))</f>
        <v>6</v>
      </c>
      <c r="C122" s="19"/>
      <c r="D122" s="19"/>
      <c r="E122" s="19"/>
      <c r="F122" s="19"/>
      <c r="G122" s="19"/>
      <c r="H122" s="19"/>
      <c r="I122" s="19"/>
    </row>
    <row r="123" spans="1:9" x14ac:dyDescent="0.35">
      <c r="A123" s="37" t="s">
        <v>46</v>
      </c>
      <c r="B123" s="37">
        <f>INDEX(podaci!A121:A170,MATCH(MIN(podaci!B121:B170),podaci!B121:B170,0))</f>
        <v>25</v>
      </c>
      <c r="C123" s="19"/>
      <c r="D123" s="19"/>
      <c r="E123" s="19"/>
      <c r="F123" s="19"/>
      <c r="G123" s="19"/>
      <c r="H123" s="19"/>
      <c r="I123" s="19"/>
    </row>
    <row r="124" spans="1:9" x14ac:dyDescent="0.35">
      <c r="A124" s="37" t="s">
        <v>47</v>
      </c>
      <c r="B124" s="37">
        <f>MATCH(B122,podaci!A121:A170,0)+120</f>
        <v>126</v>
      </c>
      <c r="C124" s="19"/>
      <c r="D124" s="19"/>
      <c r="E124" s="19"/>
      <c r="F124" s="19"/>
      <c r="G124" s="19"/>
      <c r="H124" s="19"/>
      <c r="I124" s="19"/>
    </row>
    <row r="125" spans="1:9" x14ac:dyDescent="0.35">
      <c r="A125" s="37" t="s">
        <v>48</v>
      </c>
      <c r="B125" s="37">
        <f>MATCH(B123,podaci!A121:A170,0)+120</f>
        <v>145</v>
      </c>
      <c r="C125" s="19"/>
      <c r="D125" s="19"/>
      <c r="E125" s="19"/>
      <c r="F125" s="19"/>
      <c r="G125" s="19"/>
      <c r="H125" s="19"/>
      <c r="I125" s="19"/>
    </row>
    <row r="126" spans="1:9" x14ac:dyDescent="0.35">
      <c r="A126" s="69" t="s">
        <v>103</v>
      </c>
      <c r="B126" s="69"/>
      <c r="C126" s="19"/>
      <c r="D126" s="19"/>
      <c r="E126" s="19"/>
      <c r="F126" s="19"/>
      <c r="G126" s="19"/>
      <c r="H126" s="19"/>
      <c r="I126" s="19"/>
    </row>
    <row r="127" spans="1:9" x14ac:dyDescent="0.35">
      <c r="A127" s="69"/>
      <c r="B127" s="69"/>
      <c r="C127" s="19"/>
      <c r="D127" s="19"/>
      <c r="E127" s="19"/>
      <c r="F127" s="19"/>
      <c r="G127" s="19"/>
      <c r="H127" s="19"/>
      <c r="I127" s="19"/>
    </row>
    <row r="128" spans="1:9" x14ac:dyDescent="0.35">
      <c r="A128" s="6" t="s">
        <v>21</v>
      </c>
      <c r="B128" s="6" t="s">
        <v>49</v>
      </c>
      <c r="C128" s="6" t="s">
        <v>50</v>
      </c>
      <c r="D128" s="6" t="s">
        <v>43</v>
      </c>
      <c r="E128" s="19"/>
      <c r="F128" s="19"/>
      <c r="G128" s="19"/>
      <c r="H128" s="19"/>
      <c r="I128" s="19"/>
    </row>
    <row r="129" spans="1:9" x14ac:dyDescent="0.35">
      <c r="A129" t="s">
        <v>51</v>
      </c>
      <c r="B129" s="1">
        <f ca="1">INDIRECT("podaci!A"&amp;B124)</f>
        <v>6</v>
      </c>
      <c r="C129" s="2">
        <f ca="1">INDIRECT("podaci!A"&amp;B125)</f>
        <v>25</v>
      </c>
      <c r="E129" s="19"/>
      <c r="F129" s="19"/>
      <c r="G129" s="19"/>
      <c r="H129" s="19"/>
      <c r="I129" s="19"/>
    </row>
    <row r="130" spans="1:9" x14ac:dyDescent="0.35">
      <c r="A130" t="s">
        <v>97</v>
      </c>
      <c r="B130" s="34">
        <f ca="1">INDIRECT("podaci!B"&amp;B124)</f>
        <v>95.42</v>
      </c>
      <c r="C130" s="35">
        <f ca="1">INDIRECT("podaci!B"&amp;B125)</f>
        <v>92.15</v>
      </c>
      <c r="D130" s="33">
        <f t="shared" ref="D130:D137" ca="1" si="2">B130-C130</f>
        <v>3.269999999999996</v>
      </c>
      <c r="E130" s="19"/>
      <c r="F130" s="19"/>
      <c r="G130" s="19"/>
      <c r="H130" s="19"/>
      <c r="I130" s="19"/>
    </row>
    <row r="131" spans="1:9" x14ac:dyDescent="0.35">
      <c r="A131" t="s">
        <v>93</v>
      </c>
      <c r="B131" s="34">
        <f ca="1">INDIRECT("podaci!C"&amp;B124)</f>
        <v>97.42</v>
      </c>
      <c r="C131" s="35">
        <f ca="1">INDIRECT("podaci!C"&amp;B125)</f>
        <v>97.07</v>
      </c>
      <c r="D131" s="33">
        <f t="shared" ca="1" si="2"/>
        <v>0.35000000000000853</v>
      </c>
      <c r="E131" s="19"/>
      <c r="F131" s="19"/>
      <c r="G131" s="19"/>
      <c r="H131" s="19"/>
      <c r="I131" s="19"/>
    </row>
    <row r="132" spans="1:9" x14ac:dyDescent="0.35">
      <c r="A132" t="s">
        <v>94</v>
      </c>
      <c r="B132" s="34">
        <f ca="1">INDIRECT("podaci!D"&amp;B124)</f>
        <v>96.15</v>
      </c>
      <c r="C132" s="35">
        <f ca="1">INDIRECT("podaci!D"&amp;B125)</f>
        <v>94.63</v>
      </c>
      <c r="D132" s="33">
        <f t="shared" ca="1" si="2"/>
        <v>1.5200000000000102</v>
      </c>
      <c r="E132" s="19"/>
      <c r="F132" s="19"/>
      <c r="G132" s="19"/>
      <c r="H132" s="19"/>
      <c r="I132" s="19"/>
    </row>
    <row r="133" spans="1:9" x14ac:dyDescent="0.35">
      <c r="A133" t="s">
        <v>95</v>
      </c>
      <c r="B133" s="34">
        <f ca="1">INDIRECT("podaci!E"&amp;B124)</f>
        <v>94.04</v>
      </c>
      <c r="C133" s="35">
        <f ca="1">INDIRECT("podaci!E"&amp;B125)</f>
        <v>88.59</v>
      </c>
      <c r="D133" s="33">
        <f t="shared" ca="1" si="2"/>
        <v>5.4500000000000028</v>
      </c>
      <c r="E133" s="19"/>
      <c r="F133" s="19"/>
      <c r="G133" s="19"/>
      <c r="H133" s="19"/>
      <c r="I133" s="19"/>
    </row>
    <row r="134" spans="1:9" x14ac:dyDescent="0.35">
      <c r="A134" t="s">
        <v>96</v>
      </c>
      <c r="B134" s="34">
        <f ca="1">INDIRECT("podaci!F"&amp;B124)</f>
        <v>91.17</v>
      </c>
      <c r="C134" s="35">
        <f ca="1">INDIRECT("podaci!F"&amp;B125)</f>
        <v>83.3</v>
      </c>
      <c r="D134" s="33">
        <f t="shared" ca="1" si="2"/>
        <v>7.8700000000000045</v>
      </c>
      <c r="E134" s="19"/>
      <c r="F134" s="19"/>
      <c r="G134" s="19"/>
      <c r="H134" s="19"/>
      <c r="I134" s="19"/>
    </row>
    <row r="135" spans="1:9" x14ac:dyDescent="0.35">
      <c r="A135" t="s">
        <v>52</v>
      </c>
      <c r="B135" s="34">
        <f ca="1">INDIRECT("podaci!I"&amp;B124)</f>
        <v>2.8700000000000045</v>
      </c>
      <c r="C135" s="35">
        <f ca="1">INDIRECT("podaci!I"&amp;B125)</f>
        <v>5.2900000000000063</v>
      </c>
      <c r="D135" s="33">
        <f t="shared" ca="1" si="2"/>
        <v>-2.4200000000000017</v>
      </c>
      <c r="E135" s="19"/>
      <c r="F135" s="19"/>
      <c r="G135" s="19"/>
      <c r="H135" s="19"/>
      <c r="I135" s="19"/>
    </row>
    <row r="136" spans="1:9" x14ac:dyDescent="0.35">
      <c r="A136" t="s">
        <v>35</v>
      </c>
      <c r="B136" s="1">
        <f ca="1">INDIRECT("podaci!G"&amp;B124)</f>
        <v>104.971</v>
      </c>
      <c r="C136" s="2">
        <f ca="1">INDIRECT("podaci!G"&amp;B125)</f>
        <v>106.51300000000001</v>
      </c>
      <c r="D136">
        <f t="shared" ca="1" si="2"/>
        <v>-1.5420000000000016</v>
      </c>
      <c r="E136" s="19"/>
      <c r="F136" s="19"/>
      <c r="G136" s="19"/>
      <c r="H136" s="19"/>
      <c r="I136" s="19"/>
    </row>
    <row r="137" spans="1:9" x14ac:dyDescent="0.35">
      <c r="A137" t="s">
        <v>36</v>
      </c>
      <c r="B137" s="1">
        <f ca="1">INDIRECT("podaci!H"&amp;B124)</f>
        <v>0.887374</v>
      </c>
      <c r="C137" s="2">
        <f ca="1">INDIRECT("podaci!H"&amp;B125)</f>
        <v>1.554184</v>
      </c>
      <c r="D137">
        <f t="shared" ca="1" si="2"/>
        <v>-0.66681000000000001</v>
      </c>
      <c r="E137" s="19"/>
      <c r="F137" s="19"/>
      <c r="G137" s="19"/>
      <c r="H137" s="19"/>
      <c r="I137" s="19"/>
    </row>
    <row r="138" spans="1:9" x14ac:dyDescent="0.35">
      <c r="A138" s="19"/>
      <c r="B138" s="19"/>
      <c r="C138" s="19"/>
      <c r="D138" s="19"/>
      <c r="E138" s="19"/>
      <c r="F138" s="19"/>
      <c r="G138" s="19"/>
      <c r="H138" s="19"/>
      <c r="I138" s="19"/>
    </row>
    <row r="139" spans="1:9" x14ac:dyDescent="0.35">
      <c r="A139" s="19"/>
      <c r="B139" s="19"/>
      <c r="C139" s="19"/>
      <c r="D139" s="19"/>
      <c r="E139" s="19"/>
      <c r="F139" s="19"/>
      <c r="G139" s="19"/>
      <c r="H139" s="19"/>
      <c r="I139" s="19"/>
    </row>
    <row r="140" spans="1:9" x14ac:dyDescent="0.35">
      <c r="A140" s="19"/>
      <c r="B140" s="19"/>
      <c r="C140" s="19"/>
      <c r="D140" s="19"/>
      <c r="E140" s="19"/>
      <c r="F140" s="19"/>
      <c r="G140" s="19"/>
      <c r="H140" s="19"/>
      <c r="I140" s="19"/>
    </row>
    <row r="141" spans="1:9" x14ac:dyDescent="0.35">
      <c r="A141" s="19"/>
      <c r="B141" s="19"/>
      <c r="C141" s="19"/>
      <c r="D141" s="19"/>
      <c r="E141" s="19"/>
      <c r="F141" s="19"/>
      <c r="G141" s="19"/>
      <c r="H141" s="19"/>
      <c r="I141" s="19"/>
    </row>
    <row r="142" spans="1:9" x14ac:dyDescent="0.35">
      <c r="A142" s="19"/>
      <c r="B142" s="19"/>
      <c r="C142" s="19"/>
      <c r="D142" s="19"/>
      <c r="E142" s="19"/>
      <c r="F142" s="19"/>
      <c r="G142" s="19"/>
      <c r="H142" s="19"/>
      <c r="I142" s="19"/>
    </row>
    <row r="143" spans="1:9" x14ac:dyDescent="0.35">
      <c r="A143" s="19"/>
      <c r="B143" s="19"/>
      <c r="C143" s="19"/>
      <c r="D143" s="19"/>
      <c r="E143" s="19"/>
      <c r="F143" s="19"/>
      <c r="G143" s="19"/>
      <c r="H143" s="19"/>
      <c r="I143" s="19"/>
    </row>
    <row r="144" spans="1:9" x14ac:dyDescent="0.35">
      <c r="A144" s="19"/>
      <c r="B144" s="19"/>
      <c r="C144" s="19"/>
      <c r="D144" s="19"/>
      <c r="E144" s="19"/>
      <c r="F144" s="19"/>
      <c r="G144" s="19"/>
      <c r="H144" s="19"/>
      <c r="I144" s="19"/>
    </row>
    <row r="145" spans="1:9" x14ac:dyDescent="0.35">
      <c r="A145" s="19"/>
      <c r="B145" s="19"/>
      <c r="C145" s="19"/>
      <c r="D145" s="19"/>
      <c r="E145" s="19"/>
      <c r="F145" s="19"/>
      <c r="G145" s="19"/>
      <c r="H145" s="19"/>
      <c r="I145" s="19"/>
    </row>
    <row r="146" spans="1:9" x14ac:dyDescent="0.35">
      <c r="A146" s="19"/>
      <c r="B146" s="19"/>
      <c r="C146" s="19"/>
      <c r="D146" s="19"/>
      <c r="E146" s="19"/>
      <c r="F146" s="19"/>
      <c r="G146" s="19"/>
      <c r="H146" s="19"/>
      <c r="I146" s="19"/>
    </row>
    <row r="147" spans="1:9" x14ac:dyDescent="0.35">
      <c r="A147" s="19"/>
      <c r="B147" s="19"/>
      <c r="C147" s="19"/>
      <c r="D147" s="19"/>
      <c r="E147" s="19"/>
      <c r="F147" s="19"/>
      <c r="G147" s="19"/>
      <c r="H147" s="19"/>
      <c r="I147" s="19"/>
    </row>
    <row r="148" spans="1:9" x14ac:dyDescent="0.35">
      <c r="A148" s="19"/>
      <c r="B148" s="19"/>
      <c r="C148" s="19"/>
      <c r="D148" s="19"/>
      <c r="E148" s="19"/>
      <c r="F148" s="19"/>
      <c r="G148" s="19"/>
      <c r="H148" s="19"/>
      <c r="I148" s="19"/>
    </row>
    <row r="149" spans="1:9" x14ac:dyDescent="0.35">
      <c r="A149" s="19"/>
      <c r="B149" s="19"/>
      <c r="C149" s="19"/>
      <c r="D149" s="19"/>
      <c r="E149" s="19"/>
      <c r="F149" s="19"/>
      <c r="G149" s="19"/>
      <c r="H149" s="19"/>
      <c r="I149" s="19"/>
    </row>
    <row r="150" spans="1:9" x14ac:dyDescent="0.35">
      <c r="A150" s="19"/>
      <c r="B150" s="19"/>
      <c r="C150" s="19"/>
      <c r="D150" s="19"/>
      <c r="E150" s="19"/>
      <c r="F150" s="19"/>
      <c r="G150" s="19"/>
      <c r="H150" s="19"/>
      <c r="I150" s="19"/>
    </row>
    <row r="151" spans="1:9" x14ac:dyDescent="0.35">
      <c r="A151" s="19"/>
      <c r="B151" s="19"/>
      <c r="C151" s="19"/>
      <c r="D151" s="19"/>
      <c r="E151" s="19"/>
      <c r="F151" s="19"/>
      <c r="G151" s="19"/>
      <c r="H151" s="19"/>
      <c r="I151" s="19"/>
    </row>
    <row r="152" spans="1:9" x14ac:dyDescent="0.35">
      <c r="A152" s="19"/>
      <c r="B152" s="19"/>
      <c r="C152" s="19"/>
      <c r="D152" s="19"/>
      <c r="E152" s="19"/>
      <c r="F152" s="19"/>
      <c r="G152" s="19"/>
      <c r="H152" s="19"/>
      <c r="I152" s="19"/>
    </row>
    <row r="153" spans="1:9" x14ac:dyDescent="0.35">
      <c r="A153" s="19"/>
      <c r="B153" s="19"/>
      <c r="C153" s="19"/>
      <c r="D153" s="19"/>
      <c r="E153" s="19"/>
      <c r="F153" s="19"/>
      <c r="G153" s="19"/>
      <c r="H153" s="19"/>
      <c r="I153" s="19"/>
    </row>
    <row r="154" spans="1:9" x14ac:dyDescent="0.35">
      <c r="A154" s="19"/>
      <c r="B154" s="19"/>
      <c r="C154" s="19"/>
      <c r="D154" s="19"/>
      <c r="E154" s="19"/>
      <c r="F154" s="19"/>
      <c r="G154" s="19"/>
      <c r="H154" s="19"/>
      <c r="I154" s="19"/>
    </row>
    <row r="155" spans="1:9" x14ac:dyDescent="0.35">
      <c r="A155" s="19"/>
      <c r="B155" s="19"/>
      <c r="C155" s="19"/>
      <c r="D155" s="19"/>
      <c r="E155" s="19"/>
      <c r="F155" s="19"/>
      <c r="G155" s="19"/>
      <c r="H155" s="19"/>
      <c r="I155" s="19"/>
    </row>
    <row r="156" spans="1:9" x14ac:dyDescent="0.35">
      <c r="A156" s="19"/>
      <c r="B156" s="19"/>
      <c r="C156" s="19"/>
      <c r="D156" s="19"/>
      <c r="E156" s="19"/>
      <c r="F156" s="19"/>
      <c r="G156" s="19"/>
      <c r="H156" s="19"/>
      <c r="I156" s="19"/>
    </row>
    <row r="157" spans="1:9" x14ac:dyDescent="0.35">
      <c r="A157" s="19"/>
      <c r="B157" s="19"/>
      <c r="C157" s="19"/>
      <c r="D157" s="19"/>
      <c r="E157" s="19"/>
      <c r="F157" s="19"/>
      <c r="G157" s="19"/>
      <c r="H157" s="19"/>
      <c r="I157" s="19"/>
    </row>
    <row r="158" spans="1:9" x14ac:dyDescent="0.35">
      <c r="A158" s="19"/>
      <c r="B158" s="19"/>
      <c r="C158" s="19"/>
      <c r="D158" s="19"/>
      <c r="E158" s="19"/>
      <c r="F158" s="19"/>
      <c r="G158" s="19"/>
      <c r="H158" s="19"/>
      <c r="I158" s="19"/>
    </row>
    <row r="159" spans="1:9" x14ac:dyDescent="0.35">
      <c r="A159" s="19"/>
      <c r="B159" s="19"/>
      <c r="C159" s="19"/>
      <c r="D159" s="19"/>
      <c r="E159" s="19"/>
      <c r="F159" s="19"/>
      <c r="G159" s="19"/>
      <c r="H159" s="19"/>
      <c r="I159" s="19"/>
    </row>
    <row r="160" spans="1:9" x14ac:dyDescent="0.35">
      <c r="A160" s="19"/>
      <c r="B160" s="19"/>
      <c r="C160" s="19"/>
      <c r="D160" s="19"/>
      <c r="E160" s="19"/>
      <c r="F160" s="19"/>
      <c r="G160" s="19"/>
      <c r="H160" s="19"/>
      <c r="I160" s="19"/>
    </row>
    <row r="161" spans="1:9" x14ac:dyDescent="0.35">
      <c r="A161" s="19"/>
      <c r="B161" s="19"/>
      <c r="C161" s="19"/>
      <c r="D161" s="19"/>
      <c r="E161" s="19"/>
      <c r="F161" s="19"/>
      <c r="G161" s="19"/>
      <c r="H161" s="19"/>
      <c r="I161" s="19"/>
    </row>
    <row r="162" spans="1:9" x14ac:dyDescent="0.35">
      <c r="A162" s="19"/>
      <c r="B162" s="19"/>
      <c r="C162" s="19"/>
      <c r="D162" s="19"/>
      <c r="E162" s="19"/>
      <c r="F162" s="19"/>
      <c r="G162" s="19"/>
      <c r="H162" s="19"/>
      <c r="I162" s="19"/>
    </row>
    <row r="163" spans="1:9" x14ac:dyDescent="0.35">
      <c r="A163" s="19"/>
      <c r="B163" s="19"/>
      <c r="C163" s="19"/>
      <c r="D163" s="19"/>
      <c r="E163" s="19"/>
      <c r="F163" s="19"/>
      <c r="G163" s="19"/>
      <c r="H163" s="19"/>
      <c r="I163" s="19"/>
    </row>
    <row r="164" spans="1:9" x14ac:dyDescent="0.35">
      <c r="A164" s="19"/>
      <c r="B164" s="19"/>
      <c r="C164" s="19"/>
      <c r="D164" s="19"/>
      <c r="E164" s="19"/>
      <c r="F164" s="19"/>
      <c r="G164" s="19"/>
      <c r="H164" s="19"/>
      <c r="I164" s="19"/>
    </row>
    <row r="165" spans="1:9" x14ac:dyDescent="0.35">
      <c r="A165" s="19"/>
      <c r="B165" s="19"/>
      <c r="C165" s="19"/>
      <c r="D165" s="19"/>
      <c r="E165" s="19"/>
      <c r="F165" s="19"/>
      <c r="G165" s="19"/>
      <c r="H165" s="19"/>
      <c r="I165" s="19"/>
    </row>
    <row r="166" spans="1:9" x14ac:dyDescent="0.35">
      <c r="A166" s="19"/>
      <c r="B166" s="19"/>
      <c r="C166" s="19"/>
      <c r="D166" s="19"/>
      <c r="E166" s="19"/>
      <c r="F166" s="19"/>
      <c r="G166" s="19"/>
      <c r="H166" s="19"/>
      <c r="I166" s="19"/>
    </row>
    <row r="167" spans="1:9" x14ac:dyDescent="0.35">
      <c r="A167" s="19"/>
      <c r="B167" s="19"/>
      <c r="C167" s="19"/>
      <c r="D167" s="19"/>
      <c r="E167" s="19"/>
      <c r="F167" s="19"/>
      <c r="G167" s="19"/>
      <c r="H167" s="19"/>
      <c r="I167" s="19"/>
    </row>
    <row r="168" spans="1:9" x14ac:dyDescent="0.35">
      <c r="A168" s="19"/>
      <c r="B168" s="19"/>
      <c r="C168" s="19"/>
      <c r="D168" s="19"/>
      <c r="E168" s="19"/>
      <c r="F168" s="19"/>
      <c r="G168" s="19"/>
      <c r="H168" s="19"/>
      <c r="I168" s="19"/>
    </row>
    <row r="169" spans="1:9" x14ac:dyDescent="0.35">
      <c r="A169" s="19"/>
      <c r="B169" s="19"/>
      <c r="C169" s="19"/>
      <c r="D169" s="19"/>
      <c r="E169" s="19"/>
      <c r="F169" s="19"/>
      <c r="G169" s="19"/>
      <c r="H169" s="19"/>
      <c r="I169" s="19"/>
    </row>
    <row r="170" spans="1:9" x14ac:dyDescent="0.35">
      <c r="A170" s="19"/>
      <c r="B170" s="19"/>
      <c r="C170" s="19"/>
      <c r="D170" s="19"/>
      <c r="E170" s="19"/>
      <c r="F170" s="19"/>
      <c r="G170" s="19"/>
      <c r="H170" s="19"/>
      <c r="I170" s="19"/>
    </row>
    <row r="171" spans="1:9" x14ac:dyDescent="0.35">
      <c r="A171" s="19"/>
      <c r="B171" s="19"/>
      <c r="C171" s="19"/>
      <c r="D171" s="19"/>
      <c r="E171" s="19"/>
      <c r="F171" s="19"/>
      <c r="G171" s="19"/>
      <c r="H171" s="19"/>
      <c r="I171" s="19"/>
    </row>
    <row r="172" spans="1:9" x14ac:dyDescent="0.35">
      <c r="A172" s="19"/>
      <c r="B172" s="19"/>
      <c r="C172" s="19"/>
      <c r="D172" s="19"/>
      <c r="E172" s="19"/>
      <c r="F172" s="19"/>
      <c r="G172" s="19"/>
      <c r="H172" s="19"/>
      <c r="I172" s="19"/>
    </row>
    <row r="173" spans="1:9" x14ac:dyDescent="0.35">
      <c r="A173" s="18"/>
      <c r="B173" s="18"/>
      <c r="C173" s="18"/>
      <c r="D173" s="18"/>
      <c r="E173" s="18"/>
      <c r="F173" s="18"/>
      <c r="G173" s="18"/>
      <c r="H173" s="18"/>
      <c r="I173" s="18"/>
    </row>
    <row r="174" spans="1:9" x14ac:dyDescent="0.35">
      <c r="A174" s="18"/>
      <c r="B174" s="18"/>
      <c r="C174" s="18"/>
      <c r="D174" s="18"/>
      <c r="E174" s="18"/>
      <c r="F174" s="18"/>
      <c r="G174" s="18"/>
      <c r="H174" s="18"/>
      <c r="I174" s="18"/>
    </row>
  </sheetData>
  <mergeCells count="3">
    <mergeCell ref="A7:B8"/>
    <mergeCell ref="A67:B68"/>
    <mergeCell ref="A126:B127"/>
  </mergeCells>
  <phoneticPr fontId="7" type="noConversion"/>
  <pageMargins left="0.75" right="0.75" top="1" bottom="1" header="0.5" footer="0.5"/>
  <pageSetup orientation="portrait" horizontalDpi="300" verticalDpi="300" r:id="rId1"/>
  <drawing r:id="rId2"/>
  <tableParts count="3"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1"/>
  <sheetViews>
    <sheetView workbookViewId="0">
      <selection activeCell="K35" sqref="K35"/>
    </sheetView>
  </sheetViews>
  <sheetFormatPr defaultRowHeight="14.5" x14ac:dyDescent="0.35"/>
  <cols>
    <col min="1" max="1" width="25" customWidth="1"/>
    <col min="2" max="2" width="21.7265625" customWidth="1"/>
    <col min="3" max="3" width="30" customWidth="1"/>
  </cols>
  <sheetData>
    <row r="1" spans="1:3" ht="18.5" x14ac:dyDescent="0.45">
      <c r="A1" s="70" t="s">
        <v>80</v>
      </c>
      <c r="B1" s="71"/>
      <c r="C1" s="72"/>
    </row>
    <row r="2" spans="1:3" x14ac:dyDescent="0.35">
      <c r="A2" s="42" t="s">
        <v>107</v>
      </c>
      <c r="B2" s="43">
        <v>91.41</v>
      </c>
      <c r="C2" s="44"/>
    </row>
    <row r="3" spans="1:3" x14ac:dyDescent="0.35">
      <c r="A3" s="45" t="s">
        <v>21</v>
      </c>
      <c r="B3" s="46" t="s">
        <v>53</v>
      </c>
      <c r="C3" s="47" t="s">
        <v>54</v>
      </c>
    </row>
    <row r="4" spans="1:3" x14ac:dyDescent="0.35">
      <c r="A4" s="48" t="s">
        <v>55</v>
      </c>
      <c r="B4" s="49">
        <f>statistika!E2</f>
        <v>95.109400000000008</v>
      </c>
      <c r="C4" s="50" t="s">
        <v>56</v>
      </c>
    </row>
    <row r="5" spans="1:3" x14ac:dyDescent="0.35">
      <c r="A5" s="48" t="s">
        <v>57</v>
      </c>
      <c r="B5" s="51">
        <f>statistika!E2-B2</f>
        <v>3.6994000000000113</v>
      </c>
      <c r="C5" s="50" t="s">
        <v>58</v>
      </c>
    </row>
    <row r="6" spans="1:3" x14ac:dyDescent="0.35">
      <c r="A6" s="48" t="s">
        <v>59</v>
      </c>
      <c r="B6" s="51">
        <f>(statistika!E2-B2)/B2*100</f>
        <v>4.0470408051635616</v>
      </c>
      <c r="C6" s="50" t="s">
        <v>60</v>
      </c>
    </row>
    <row r="7" spans="1:3" x14ac:dyDescent="0.35">
      <c r="A7" s="48" t="s">
        <v>61</v>
      </c>
      <c r="B7" s="51">
        <f>statistika!H2</f>
        <v>0.77044755082447247</v>
      </c>
      <c r="C7" s="50" t="s">
        <v>62</v>
      </c>
    </row>
    <row r="8" spans="1:3" x14ac:dyDescent="0.35">
      <c r="A8" s="52" t="s">
        <v>63</v>
      </c>
      <c r="B8" s="53">
        <f>statistika!B2</f>
        <v>93.68</v>
      </c>
      <c r="C8" s="54" t="s">
        <v>64</v>
      </c>
    </row>
    <row r="9" spans="1:3" x14ac:dyDescent="0.35">
      <c r="A9" s="52" t="s">
        <v>65</v>
      </c>
      <c r="B9" s="53">
        <f>statistika!G2</f>
        <v>96.42</v>
      </c>
      <c r="C9" s="54" t="s">
        <v>66</v>
      </c>
    </row>
    <row r="10" spans="1:3" x14ac:dyDescent="0.35">
      <c r="A10" s="55" t="s">
        <v>67</v>
      </c>
      <c r="B10" s="56">
        <f>statistika!G2-statistika!B2</f>
        <v>2.7399999999999949</v>
      </c>
      <c r="C10" s="57" t="s">
        <v>68</v>
      </c>
    </row>
    <row r="11" spans="1:3" x14ac:dyDescent="0.35">
      <c r="A11" s="48"/>
      <c r="B11" s="7"/>
      <c r="C11" s="58"/>
    </row>
    <row r="12" spans="1:3" x14ac:dyDescent="0.35">
      <c r="A12" s="59" t="s">
        <v>41</v>
      </c>
      <c r="B12" s="60"/>
      <c r="C12" s="61"/>
    </row>
    <row r="13" spans="1:3" x14ac:dyDescent="0.35">
      <c r="A13" s="48" t="s">
        <v>69</v>
      </c>
      <c r="B13" s="49">
        <f>statistika!E6</f>
        <v>85.332000000000008</v>
      </c>
      <c r="C13" s="50"/>
    </row>
    <row r="14" spans="1:3" x14ac:dyDescent="0.35">
      <c r="A14" s="48" t="s">
        <v>70</v>
      </c>
      <c r="B14" s="49">
        <f>statistika!E7</f>
        <v>9.1933999999999969</v>
      </c>
      <c r="C14" s="50"/>
    </row>
    <row r="15" spans="1:3" x14ac:dyDescent="0.35">
      <c r="A15" s="62" t="s">
        <v>71</v>
      </c>
      <c r="B15" s="63">
        <f>statistika!B7</f>
        <v>0.98000000000000398</v>
      </c>
      <c r="C15" s="64" t="s">
        <v>72</v>
      </c>
    </row>
    <row r="16" spans="1:3" x14ac:dyDescent="0.35">
      <c r="A16" s="65" t="s">
        <v>73</v>
      </c>
      <c r="B16" s="66">
        <f>statistika!G7</f>
        <v>21.259999999999991</v>
      </c>
      <c r="C16" s="67" t="s">
        <v>74</v>
      </c>
    </row>
    <row r="17" spans="1:3" x14ac:dyDescent="0.35">
      <c r="A17" s="48"/>
      <c r="B17" s="7"/>
      <c r="C17" s="58"/>
    </row>
    <row r="18" spans="1:3" x14ac:dyDescent="0.35">
      <c r="A18" s="59" t="s">
        <v>75</v>
      </c>
      <c r="B18" s="60"/>
      <c r="C18" s="61"/>
    </row>
    <row r="19" spans="1:3" x14ac:dyDescent="0.35">
      <c r="A19" s="48" t="s">
        <v>76</v>
      </c>
      <c r="B19" s="49">
        <f>statistika!E8</f>
        <v>108.72040000000001</v>
      </c>
      <c r="C19" s="50" t="s">
        <v>77</v>
      </c>
    </row>
    <row r="20" spans="1:3" x14ac:dyDescent="0.35">
      <c r="A20" s="48" t="s">
        <v>78</v>
      </c>
      <c r="B20" s="49">
        <f>statistika!E9</f>
        <v>1.0280457999999997</v>
      </c>
      <c r="C20" s="50" t="s">
        <v>79</v>
      </c>
    </row>
    <row r="21" spans="1:3" x14ac:dyDescent="0.35">
      <c r="A21" s="73" t="s">
        <v>98</v>
      </c>
      <c r="B21" s="69"/>
      <c r="C21" s="58"/>
    </row>
    <row r="22" spans="1:3" ht="15" thickBot="1" x14ac:dyDescent="0.4">
      <c r="A22" s="74"/>
      <c r="B22" s="75"/>
      <c r="C22" s="68"/>
    </row>
    <row r="23" spans="1:3" x14ac:dyDescent="0.35">
      <c r="A23" s="19"/>
      <c r="B23" s="19"/>
      <c r="C23" s="19"/>
    </row>
    <row r="24" spans="1:3" x14ac:dyDescent="0.35">
      <c r="A24" s="19"/>
      <c r="B24" s="19"/>
      <c r="C24" s="19"/>
    </row>
    <row r="25" spans="1:3" x14ac:dyDescent="0.35">
      <c r="A25" s="19"/>
      <c r="B25" s="19"/>
      <c r="C25" s="19"/>
    </row>
    <row r="26" spans="1:3" x14ac:dyDescent="0.35">
      <c r="A26" s="19"/>
      <c r="B26" s="19"/>
      <c r="C26" s="19"/>
    </row>
    <row r="27" spans="1:3" x14ac:dyDescent="0.35">
      <c r="A27" s="19"/>
      <c r="B27" s="19"/>
      <c r="C27" s="19"/>
    </row>
    <row r="28" spans="1:3" x14ac:dyDescent="0.35">
      <c r="A28" s="19"/>
      <c r="B28" s="19"/>
      <c r="C28" s="19"/>
    </row>
    <row r="29" spans="1:3" x14ac:dyDescent="0.35">
      <c r="A29" s="19"/>
      <c r="B29" s="19"/>
      <c r="C29" s="19"/>
    </row>
    <row r="30" spans="1:3" x14ac:dyDescent="0.35">
      <c r="A30" s="19"/>
      <c r="B30" s="19"/>
      <c r="C30" s="19"/>
    </row>
    <row r="31" spans="1:3" x14ac:dyDescent="0.35">
      <c r="A31" s="19"/>
      <c r="B31" s="19"/>
      <c r="C31" s="19"/>
    </row>
    <row r="32" spans="1:3" x14ac:dyDescent="0.35">
      <c r="A32" s="19"/>
      <c r="B32" s="19"/>
      <c r="C32" s="19"/>
    </row>
    <row r="33" spans="1:3" x14ac:dyDescent="0.35">
      <c r="A33" s="19"/>
      <c r="B33" s="19"/>
      <c r="C33" s="19"/>
    </row>
    <row r="34" spans="1:3" x14ac:dyDescent="0.35">
      <c r="A34" s="19"/>
      <c r="B34" s="19"/>
      <c r="C34" s="19"/>
    </row>
    <row r="35" spans="1:3" x14ac:dyDescent="0.35">
      <c r="A35" s="19"/>
      <c r="B35" s="19"/>
      <c r="C35" s="19"/>
    </row>
    <row r="36" spans="1:3" x14ac:dyDescent="0.35">
      <c r="A36" s="19"/>
      <c r="B36" s="19"/>
      <c r="C36" s="19"/>
    </row>
    <row r="37" spans="1:3" x14ac:dyDescent="0.35">
      <c r="A37" s="19"/>
      <c r="B37" s="19"/>
      <c r="C37" s="19"/>
    </row>
    <row r="38" spans="1:3" x14ac:dyDescent="0.35">
      <c r="A38" s="19"/>
      <c r="B38" s="19"/>
      <c r="C38" s="19"/>
    </row>
    <row r="39" spans="1:3" x14ac:dyDescent="0.35">
      <c r="A39" s="19"/>
      <c r="B39" s="19"/>
      <c r="C39" s="19"/>
    </row>
    <row r="40" spans="1:3" x14ac:dyDescent="0.35">
      <c r="A40" s="19"/>
      <c r="B40" s="19"/>
      <c r="C40" s="19"/>
    </row>
    <row r="41" spans="1:3" x14ac:dyDescent="0.35">
      <c r="A41" s="19"/>
      <c r="B41" s="19"/>
      <c r="C41" s="19"/>
    </row>
    <row r="42" spans="1:3" x14ac:dyDescent="0.35">
      <c r="A42" s="19"/>
      <c r="B42" s="19"/>
      <c r="C42" s="19"/>
    </row>
    <row r="43" spans="1:3" x14ac:dyDescent="0.35">
      <c r="A43" s="19"/>
      <c r="B43" s="19"/>
      <c r="C43" s="19"/>
    </row>
    <row r="44" spans="1:3" x14ac:dyDescent="0.35">
      <c r="A44" s="19"/>
      <c r="B44" s="19"/>
      <c r="C44" s="19"/>
    </row>
    <row r="45" spans="1:3" x14ac:dyDescent="0.35">
      <c r="A45" s="19"/>
      <c r="B45" s="19"/>
      <c r="C45" s="19"/>
    </row>
    <row r="46" spans="1:3" x14ac:dyDescent="0.35">
      <c r="A46" s="19"/>
      <c r="B46" s="19"/>
      <c r="C46" s="19"/>
    </row>
    <row r="47" spans="1:3" x14ac:dyDescent="0.35">
      <c r="A47" s="19"/>
      <c r="B47" s="19"/>
      <c r="C47" s="19"/>
    </row>
    <row r="48" spans="1:3" x14ac:dyDescent="0.35">
      <c r="A48" s="19"/>
      <c r="B48" s="19"/>
      <c r="C48" s="19"/>
    </row>
    <row r="49" spans="1:3" x14ac:dyDescent="0.35">
      <c r="A49" s="19"/>
      <c r="B49" s="19"/>
      <c r="C49" s="19"/>
    </row>
    <row r="50" spans="1:3" x14ac:dyDescent="0.35">
      <c r="A50" s="19"/>
      <c r="B50" s="19"/>
      <c r="C50" s="19"/>
    </row>
    <row r="51" spans="1:3" x14ac:dyDescent="0.35">
      <c r="A51" s="19"/>
      <c r="B51" s="19"/>
      <c r="C51" s="19"/>
    </row>
    <row r="52" spans="1:3" x14ac:dyDescent="0.35">
      <c r="A52" s="19"/>
      <c r="B52" s="19"/>
      <c r="C52" s="19"/>
    </row>
    <row r="53" spans="1:3" x14ac:dyDescent="0.35">
      <c r="A53" s="19"/>
      <c r="B53" s="19"/>
      <c r="C53" s="19"/>
    </row>
    <row r="54" spans="1:3" x14ac:dyDescent="0.35">
      <c r="A54" s="19"/>
      <c r="B54" s="19"/>
      <c r="C54" s="19"/>
    </row>
    <row r="55" spans="1:3" x14ac:dyDescent="0.35">
      <c r="A55" s="19"/>
      <c r="B55" s="19"/>
      <c r="C55" s="19"/>
    </row>
    <row r="56" spans="1:3" x14ac:dyDescent="0.35">
      <c r="A56" s="19"/>
      <c r="B56" s="19"/>
      <c r="C56" s="19"/>
    </row>
    <row r="57" spans="1:3" x14ac:dyDescent="0.35">
      <c r="A57" s="19"/>
      <c r="B57" s="19"/>
      <c r="C57" s="19"/>
    </row>
    <row r="58" spans="1:3" x14ac:dyDescent="0.35">
      <c r="A58" s="19"/>
      <c r="B58" s="19"/>
      <c r="C58" s="19"/>
    </row>
    <row r="59" spans="1:3" x14ac:dyDescent="0.35">
      <c r="A59" s="19"/>
      <c r="B59" s="19"/>
      <c r="C59" s="19"/>
    </row>
    <row r="60" spans="1:3" ht="15" thickBot="1" x14ac:dyDescent="0.4">
      <c r="A60" s="19"/>
      <c r="B60" s="19"/>
      <c r="C60" s="19"/>
    </row>
    <row r="61" spans="1:3" ht="18.5" x14ac:dyDescent="0.45">
      <c r="A61" s="70" t="s">
        <v>80</v>
      </c>
      <c r="B61" s="71"/>
      <c r="C61" s="72"/>
    </row>
    <row r="62" spans="1:3" x14ac:dyDescent="0.35">
      <c r="A62" s="42" t="s">
        <v>107</v>
      </c>
      <c r="B62" s="43">
        <v>91.41</v>
      </c>
      <c r="C62" s="44"/>
    </row>
    <row r="63" spans="1:3" x14ac:dyDescent="0.35">
      <c r="A63" s="45" t="s">
        <v>21</v>
      </c>
      <c r="B63" s="46" t="s">
        <v>53</v>
      </c>
      <c r="C63" s="47" t="s">
        <v>54</v>
      </c>
    </row>
    <row r="64" spans="1:3" x14ac:dyDescent="0.35">
      <c r="A64" s="48" t="s">
        <v>55</v>
      </c>
      <c r="B64" s="49">
        <f>statistika!E62</f>
        <v>93.977200000000025</v>
      </c>
      <c r="C64" s="50" t="s">
        <v>56</v>
      </c>
    </row>
    <row r="65" spans="1:3" x14ac:dyDescent="0.35">
      <c r="A65" s="48" t="s">
        <v>57</v>
      </c>
      <c r="B65" s="51">
        <f>statistika!E62-B62</f>
        <v>2.5672000000000281</v>
      </c>
      <c r="C65" s="50" t="s">
        <v>58</v>
      </c>
    </row>
    <row r="66" spans="1:3" x14ac:dyDescent="0.35">
      <c r="A66" s="48" t="s">
        <v>59</v>
      </c>
      <c r="B66" s="51">
        <f>(statistika!E62-B62)/B62*100</f>
        <v>2.8084454654852076</v>
      </c>
      <c r="C66" s="50" t="s">
        <v>60</v>
      </c>
    </row>
    <row r="67" spans="1:3" x14ac:dyDescent="0.35">
      <c r="A67" s="48" t="s">
        <v>61</v>
      </c>
      <c r="B67" s="51">
        <f>statistika!H62</f>
        <v>0.70824312670905076</v>
      </c>
      <c r="C67" s="50" t="s">
        <v>62</v>
      </c>
    </row>
    <row r="68" spans="1:3" x14ac:dyDescent="0.35">
      <c r="A68" s="52" t="s">
        <v>63</v>
      </c>
      <c r="B68" s="53">
        <f>statistika!B62</f>
        <v>92.3</v>
      </c>
      <c r="C68" s="54" t="s">
        <v>64</v>
      </c>
    </row>
    <row r="69" spans="1:3" x14ac:dyDescent="0.35">
      <c r="A69" s="52" t="s">
        <v>65</v>
      </c>
      <c r="B69" s="53">
        <f>statistika!G62</f>
        <v>95.64</v>
      </c>
      <c r="C69" s="54" t="s">
        <v>66</v>
      </c>
    </row>
    <row r="70" spans="1:3" x14ac:dyDescent="0.35">
      <c r="A70" s="55" t="s">
        <v>67</v>
      </c>
      <c r="B70" s="56">
        <f>statistika!G62-statistika!B62</f>
        <v>3.3400000000000034</v>
      </c>
      <c r="C70" s="57" t="s">
        <v>68</v>
      </c>
    </row>
    <row r="71" spans="1:3" x14ac:dyDescent="0.35">
      <c r="A71" s="48"/>
      <c r="B71" s="7"/>
      <c r="C71" s="58"/>
    </row>
    <row r="72" spans="1:3" x14ac:dyDescent="0.35">
      <c r="A72" s="59" t="s">
        <v>41</v>
      </c>
      <c r="B72" s="60"/>
      <c r="C72" s="61"/>
    </row>
    <row r="73" spans="1:3" x14ac:dyDescent="0.35">
      <c r="A73" s="48" t="s">
        <v>69</v>
      </c>
      <c r="B73" s="49">
        <f>statistika!E66</f>
        <v>85.601799999999997</v>
      </c>
      <c r="C73" s="50"/>
    </row>
    <row r="74" spans="1:3" x14ac:dyDescent="0.35">
      <c r="A74" s="48" t="s">
        <v>70</v>
      </c>
      <c r="B74" s="49">
        <f>statistika!E67</f>
        <v>7.6270000000000007</v>
      </c>
      <c r="C74" s="50"/>
    </row>
    <row r="75" spans="1:3" x14ac:dyDescent="0.35">
      <c r="A75" s="62" t="s">
        <v>71</v>
      </c>
      <c r="B75" s="63">
        <f>statistika!B67</f>
        <v>-1.3400000000000034</v>
      </c>
      <c r="C75" s="64" t="s">
        <v>72</v>
      </c>
    </row>
    <row r="76" spans="1:3" x14ac:dyDescent="0.35">
      <c r="A76" s="65" t="s">
        <v>73</v>
      </c>
      <c r="B76" s="66">
        <f>statistika!G67</f>
        <v>17.799999999999997</v>
      </c>
      <c r="C76" s="67" t="s">
        <v>74</v>
      </c>
    </row>
    <row r="77" spans="1:3" x14ac:dyDescent="0.35">
      <c r="A77" s="48"/>
      <c r="B77" s="7"/>
      <c r="C77" s="58"/>
    </row>
    <row r="78" spans="1:3" x14ac:dyDescent="0.35">
      <c r="A78" s="59" t="s">
        <v>75</v>
      </c>
      <c r="B78" s="60"/>
      <c r="C78" s="61"/>
    </row>
    <row r="79" spans="1:3" x14ac:dyDescent="0.35">
      <c r="A79" s="48" t="s">
        <v>76</v>
      </c>
      <c r="B79" s="49">
        <f>statistika!E68</f>
        <v>119.65062000000002</v>
      </c>
      <c r="C79" s="50" t="s">
        <v>77</v>
      </c>
    </row>
    <row r="80" spans="1:3" x14ac:dyDescent="0.35">
      <c r="A80" s="48" t="s">
        <v>78</v>
      </c>
      <c r="B80" s="49">
        <f>statistika!E69</f>
        <v>1.1973988000000002</v>
      </c>
      <c r="C80" s="50" t="s">
        <v>79</v>
      </c>
    </row>
    <row r="81" spans="1:3" x14ac:dyDescent="0.35">
      <c r="A81" s="69" t="s">
        <v>102</v>
      </c>
      <c r="B81" s="69"/>
      <c r="C81" s="58"/>
    </row>
    <row r="82" spans="1:3" ht="15" thickBot="1" x14ac:dyDescent="0.4">
      <c r="A82" s="69"/>
      <c r="B82" s="69"/>
      <c r="C82" s="68"/>
    </row>
    <row r="83" spans="1:3" x14ac:dyDescent="0.35">
      <c r="A83" s="19"/>
      <c r="B83" s="19"/>
      <c r="C83" s="19"/>
    </row>
    <row r="84" spans="1:3" x14ac:dyDescent="0.35">
      <c r="A84" s="19"/>
      <c r="B84" s="19"/>
      <c r="C84" s="19"/>
    </row>
    <row r="85" spans="1:3" x14ac:dyDescent="0.35">
      <c r="A85" s="19"/>
      <c r="B85" s="19"/>
      <c r="C85" s="19"/>
    </row>
    <row r="86" spans="1:3" x14ac:dyDescent="0.35">
      <c r="A86" s="19"/>
      <c r="B86" s="19"/>
      <c r="C86" s="19"/>
    </row>
    <row r="87" spans="1:3" x14ac:dyDescent="0.35">
      <c r="A87" s="19"/>
      <c r="B87" s="19"/>
      <c r="C87" s="19"/>
    </row>
    <row r="88" spans="1:3" x14ac:dyDescent="0.35">
      <c r="A88" s="19"/>
      <c r="B88" s="19"/>
      <c r="C88" s="19"/>
    </row>
    <row r="89" spans="1:3" x14ac:dyDescent="0.35">
      <c r="A89" s="19"/>
      <c r="B89" s="19"/>
      <c r="C89" s="19"/>
    </row>
    <row r="90" spans="1:3" x14ac:dyDescent="0.35">
      <c r="A90" s="19"/>
      <c r="B90" s="19"/>
      <c r="C90" s="19"/>
    </row>
    <row r="91" spans="1:3" x14ac:dyDescent="0.35">
      <c r="A91" s="19"/>
      <c r="B91" s="19"/>
      <c r="C91" s="19"/>
    </row>
    <row r="92" spans="1:3" x14ac:dyDescent="0.35">
      <c r="A92" s="19"/>
      <c r="B92" s="19"/>
      <c r="C92" s="19"/>
    </row>
    <row r="93" spans="1:3" x14ac:dyDescent="0.35">
      <c r="A93" s="19"/>
      <c r="B93" s="19"/>
      <c r="C93" s="19"/>
    </row>
    <row r="94" spans="1:3" x14ac:dyDescent="0.35">
      <c r="A94" s="19"/>
      <c r="B94" s="19"/>
      <c r="C94" s="19"/>
    </row>
    <row r="95" spans="1:3" x14ac:dyDescent="0.35">
      <c r="A95" s="19"/>
      <c r="B95" s="19"/>
      <c r="C95" s="19"/>
    </row>
    <row r="96" spans="1:3" x14ac:dyDescent="0.35">
      <c r="A96" s="19"/>
      <c r="B96" s="19"/>
      <c r="C96" s="19"/>
    </row>
    <row r="97" spans="1:3" x14ac:dyDescent="0.35">
      <c r="A97" s="19"/>
      <c r="B97" s="19"/>
      <c r="C97" s="19"/>
    </row>
    <row r="98" spans="1:3" x14ac:dyDescent="0.35">
      <c r="A98" s="19"/>
      <c r="B98" s="19"/>
      <c r="C98" s="19"/>
    </row>
    <row r="99" spans="1:3" x14ac:dyDescent="0.35">
      <c r="A99" s="19"/>
      <c r="B99" s="19"/>
      <c r="C99" s="19"/>
    </row>
    <row r="100" spans="1:3" x14ac:dyDescent="0.35">
      <c r="A100" s="19"/>
      <c r="B100" s="19"/>
      <c r="C100" s="19"/>
    </row>
    <row r="101" spans="1:3" x14ac:dyDescent="0.35">
      <c r="A101" s="19"/>
      <c r="B101" s="19"/>
      <c r="C101" s="19"/>
    </row>
    <row r="102" spans="1:3" x14ac:dyDescent="0.35">
      <c r="A102" s="19"/>
      <c r="B102" s="19"/>
      <c r="C102" s="19"/>
    </row>
    <row r="103" spans="1:3" x14ac:dyDescent="0.35">
      <c r="A103" s="19"/>
      <c r="B103" s="19"/>
      <c r="C103" s="19"/>
    </row>
    <row r="104" spans="1:3" x14ac:dyDescent="0.35">
      <c r="A104" s="19"/>
      <c r="B104" s="19"/>
      <c r="C104" s="19"/>
    </row>
    <row r="105" spans="1:3" x14ac:dyDescent="0.35">
      <c r="A105" s="19"/>
      <c r="B105" s="19"/>
      <c r="C105" s="19"/>
    </row>
    <row r="106" spans="1:3" x14ac:dyDescent="0.35">
      <c r="A106" s="19"/>
      <c r="B106" s="19"/>
      <c r="C106" s="19"/>
    </row>
    <row r="107" spans="1:3" x14ac:dyDescent="0.35">
      <c r="A107" s="19"/>
      <c r="B107" s="19"/>
      <c r="C107" s="19"/>
    </row>
    <row r="108" spans="1:3" x14ac:dyDescent="0.35">
      <c r="A108" s="19"/>
      <c r="B108" s="19"/>
      <c r="C108" s="19"/>
    </row>
    <row r="109" spans="1:3" x14ac:dyDescent="0.35">
      <c r="A109" s="19"/>
      <c r="B109" s="19"/>
      <c r="C109" s="19"/>
    </row>
    <row r="110" spans="1:3" x14ac:dyDescent="0.35">
      <c r="A110" s="19"/>
      <c r="B110" s="19"/>
      <c r="C110" s="19"/>
    </row>
    <row r="111" spans="1:3" x14ac:dyDescent="0.35">
      <c r="A111" s="19"/>
      <c r="B111" s="19"/>
      <c r="C111" s="19"/>
    </row>
    <row r="112" spans="1:3" x14ac:dyDescent="0.35">
      <c r="A112" s="19"/>
      <c r="B112" s="19"/>
      <c r="C112" s="19"/>
    </row>
    <row r="113" spans="1:3" x14ac:dyDescent="0.35">
      <c r="A113" s="19"/>
      <c r="B113" s="19"/>
      <c r="C113" s="19"/>
    </row>
    <row r="114" spans="1:3" x14ac:dyDescent="0.35">
      <c r="A114" s="19"/>
      <c r="B114" s="19"/>
      <c r="C114" s="19"/>
    </row>
    <row r="115" spans="1:3" x14ac:dyDescent="0.35">
      <c r="A115" s="19"/>
      <c r="B115" s="19"/>
      <c r="C115" s="19"/>
    </row>
    <row r="116" spans="1:3" x14ac:dyDescent="0.35">
      <c r="A116" s="19"/>
      <c r="B116" s="19"/>
      <c r="C116" s="19"/>
    </row>
    <row r="117" spans="1:3" x14ac:dyDescent="0.35">
      <c r="A117" s="19"/>
      <c r="B117" s="19"/>
      <c r="C117" s="19"/>
    </row>
    <row r="118" spans="1:3" x14ac:dyDescent="0.35">
      <c r="A118" s="19"/>
      <c r="B118" s="19"/>
      <c r="C118" s="19"/>
    </row>
    <row r="119" spans="1:3" ht="15" thickBot="1" x14ac:dyDescent="0.4">
      <c r="A119" s="19"/>
      <c r="B119" s="19"/>
      <c r="C119" s="19"/>
    </row>
    <row r="120" spans="1:3" ht="18.5" x14ac:dyDescent="0.45">
      <c r="A120" s="70" t="s">
        <v>80</v>
      </c>
      <c r="B120" s="71"/>
      <c r="C120" s="72"/>
    </row>
    <row r="121" spans="1:3" x14ac:dyDescent="0.35">
      <c r="A121" s="42" t="s">
        <v>107</v>
      </c>
      <c r="B121" s="43">
        <v>91.41</v>
      </c>
      <c r="C121" s="44"/>
    </row>
    <row r="122" spans="1:3" x14ac:dyDescent="0.35">
      <c r="A122" s="45" t="s">
        <v>21</v>
      </c>
      <c r="B122" s="46" t="s">
        <v>53</v>
      </c>
      <c r="C122" s="47" t="s">
        <v>54</v>
      </c>
    </row>
    <row r="123" spans="1:3" x14ac:dyDescent="0.35">
      <c r="A123" s="48" t="s">
        <v>55</v>
      </c>
      <c r="B123" s="49">
        <f>statistika!E121</f>
        <v>94.179399999999987</v>
      </c>
      <c r="C123" s="50" t="s">
        <v>56</v>
      </c>
    </row>
    <row r="124" spans="1:3" x14ac:dyDescent="0.35">
      <c r="A124" s="48" t="s">
        <v>57</v>
      </c>
      <c r="B124" s="51">
        <f>statistika!E121-B121</f>
        <v>2.7693999999999903</v>
      </c>
      <c r="C124" s="50" t="s">
        <v>58</v>
      </c>
    </row>
    <row r="125" spans="1:3" x14ac:dyDescent="0.35">
      <c r="A125" s="48" t="s">
        <v>59</v>
      </c>
      <c r="B125" s="51">
        <f>(statistika!E121-B121)/B121*100</f>
        <v>3.0296466469751566</v>
      </c>
      <c r="C125" s="50" t="s">
        <v>60</v>
      </c>
    </row>
    <row r="126" spans="1:3" x14ac:dyDescent="0.35">
      <c r="A126" s="48" t="s">
        <v>61</v>
      </c>
      <c r="B126" s="51">
        <f>statistika!H121</f>
        <v>0.7877438980909921</v>
      </c>
      <c r="C126" s="50" t="s">
        <v>62</v>
      </c>
    </row>
    <row r="127" spans="1:3" x14ac:dyDescent="0.35">
      <c r="A127" s="52" t="s">
        <v>63</v>
      </c>
      <c r="B127" s="53">
        <f>statistika!B121</f>
        <v>92.15</v>
      </c>
      <c r="C127" s="54" t="s">
        <v>64</v>
      </c>
    </row>
    <row r="128" spans="1:3" x14ac:dyDescent="0.35">
      <c r="A128" s="52" t="s">
        <v>65</v>
      </c>
      <c r="B128" s="53">
        <f>statistika!G121</f>
        <v>95.42</v>
      </c>
      <c r="C128" s="54" t="s">
        <v>66</v>
      </c>
    </row>
    <row r="129" spans="1:3" x14ac:dyDescent="0.35">
      <c r="A129" s="55" t="s">
        <v>67</v>
      </c>
      <c r="B129" s="56">
        <f>statistika!G121-statistika!B121</f>
        <v>3.269999999999996</v>
      </c>
      <c r="C129" s="57" t="s">
        <v>68</v>
      </c>
    </row>
    <row r="130" spans="1:3" x14ac:dyDescent="0.35">
      <c r="A130" s="48"/>
      <c r="B130" s="7"/>
      <c r="C130" s="58"/>
    </row>
    <row r="131" spans="1:3" x14ac:dyDescent="0.35">
      <c r="A131" s="59" t="s">
        <v>41</v>
      </c>
      <c r="B131" s="60"/>
      <c r="C131" s="61"/>
    </row>
    <row r="132" spans="1:3" x14ac:dyDescent="0.35">
      <c r="A132" s="48" t="s">
        <v>69</v>
      </c>
      <c r="B132" s="49">
        <f>statistika!E125</f>
        <v>86.529400000000024</v>
      </c>
      <c r="C132" s="50"/>
    </row>
    <row r="133" spans="1:3" x14ac:dyDescent="0.35">
      <c r="A133" s="48" t="s">
        <v>70</v>
      </c>
      <c r="B133" s="49">
        <f>statistika!E126</f>
        <v>6.2550000000000008</v>
      </c>
      <c r="C133" s="50"/>
    </row>
    <row r="134" spans="1:3" x14ac:dyDescent="0.35">
      <c r="A134" s="62" t="s">
        <v>71</v>
      </c>
      <c r="B134" s="63">
        <f>statistika!B126</f>
        <v>-0.25999999999999091</v>
      </c>
      <c r="C134" s="64" t="s">
        <v>72</v>
      </c>
    </row>
    <row r="135" spans="1:3" x14ac:dyDescent="0.35">
      <c r="A135" s="65" t="s">
        <v>73</v>
      </c>
      <c r="B135" s="66">
        <f>statistika!G126</f>
        <v>15.569999999999993</v>
      </c>
      <c r="C135" s="67" t="s">
        <v>74</v>
      </c>
    </row>
    <row r="136" spans="1:3" x14ac:dyDescent="0.35">
      <c r="A136" s="48"/>
      <c r="B136" s="7"/>
      <c r="C136" s="58"/>
    </row>
    <row r="137" spans="1:3" x14ac:dyDescent="0.35">
      <c r="A137" s="59" t="s">
        <v>75</v>
      </c>
      <c r="B137" s="60"/>
      <c r="C137" s="61"/>
    </row>
    <row r="138" spans="1:3" x14ac:dyDescent="0.35">
      <c r="A138" s="48" t="s">
        <v>76</v>
      </c>
      <c r="B138" s="49">
        <f>statistika!E127</f>
        <v>127.22495999999997</v>
      </c>
      <c r="C138" s="50" t="s">
        <v>77</v>
      </c>
    </row>
    <row r="139" spans="1:3" x14ac:dyDescent="0.35">
      <c r="A139" s="48" t="s">
        <v>78</v>
      </c>
      <c r="B139" s="49">
        <f>statistika!E128</f>
        <v>1.1620773999999998</v>
      </c>
      <c r="C139" s="50" t="s">
        <v>79</v>
      </c>
    </row>
    <row r="140" spans="1:3" x14ac:dyDescent="0.35">
      <c r="A140" s="69" t="s">
        <v>103</v>
      </c>
      <c r="B140" s="69"/>
      <c r="C140" s="58"/>
    </row>
    <row r="141" spans="1:3" ht="15" thickBot="1" x14ac:dyDescent="0.4">
      <c r="A141" s="69"/>
      <c r="B141" s="69"/>
      <c r="C141" s="68"/>
    </row>
  </sheetData>
  <mergeCells count="6">
    <mergeCell ref="A61:C61"/>
    <mergeCell ref="A81:B82"/>
    <mergeCell ref="A120:C120"/>
    <mergeCell ref="A140:B141"/>
    <mergeCell ref="A1:C1"/>
    <mergeCell ref="A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3CE2-2DDF-4369-A6F2-8894B89E91DC}">
  <sheetPr>
    <tabColor rgb="FFFF0000"/>
  </sheetPr>
  <dimension ref="A1:AZ294"/>
  <sheetViews>
    <sheetView tabSelected="1" topLeftCell="AF113" zoomScale="115" zoomScaleNormal="115" workbookViewId="0">
      <selection activeCell="AS134" sqref="AS134"/>
    </sheetView>
  </sheetViews>
  <sheetFormatPr defaultRowHeight="14.5" x14ac:dyDescent="0.35"/>
  <cols>
    <col min="1" max="16384" width="8.7265625" style="13"/>
  </cols>
  <sheetData>
    <row r="1" spans="1:52" x14ac:dyDescent="0.35">
      <c r="A1" s="76" t="s">
        <v>104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8"/>
      <c r="S1" s="76" t="s">
        <v>106</v>
      </c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8"/>
      <c r="AJ1" s="76" t="s">
        <v>105</v>
      </c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8"/>
    </row>
    <row r="2" spans="1:52" x14ac:dyDescent="0.35">
      <c r="A2" s="73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79"/>
      <c r="S2" s="73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79"/>
      <c r="AJ2" s="73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79"/>
    </row>
    <row r="3" spans="1:52" ht="15" thickBot="1" x14ac:dyDescent="0.4">
      <c r="A3" s="74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80"/>
      <c r="S3" s="74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0"/>
      <c r="AJ3" s="74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80"/>
    </row>
    <row r="4" spans="1:52" x14ac:dyDescent="0.3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</row>
    <row r="5" spans="1:52" x14ac:dyDescent="0.3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</row>
    <row r="6" spans="1:52" x14ac:dyDescent="0.35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</row>
    <row r="7" spans="1:52" x14ac:dyDescent="0.3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</row>
    <row r="8" spans="1:52" x14ac:dyDescent="0.3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</row>
    <row r="9" spans="1:52" x14ac:dyDescent="0.3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</row>
    <row r="10" spans="1:52" x14ac:dyDescent="0.3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</row>
    <row r="11" spans="1:52" x14ac:dyDescent="0.3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</row>
    <row r="12" spans="1:52" x14ac:dyDescent="0.3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</row>
    <row r="13" spans="1:52" x14ac:dyDescent="0.3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</row>
    <row r="14" spans="1:52" x14ac:dyDescent="0.3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</row>
    <row r="15" spans="1:52" x14ac:dyDescent="0.3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</row>
    <row r="16" spans="1:52" x14ac:dyDescent="0.3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</row>
    <row r="17" spans="1:52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</row>
    <row r="18" spans="1:52" x14ac:dyDescent="0.3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</row>
    <row r="19" spans="1:52" x14ac:dyDescent="0.35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</row>
    <row r="20" spans="1:52" x14ac:dyDescent="0.3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</row>
    <row r="21" spans="1:52" x14ac:dyDescent="0.3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</row>
    <row r="22" spans="1:52" x14ac:dyDescent="0.35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</row>
    <row r="23" spans="1:52" x14ac:dyDescent="0.3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</row>
    <row r="24" spans="1:52" x14ac:dyDescent="0.3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</row>
    <row r="25" spans="1:52" x14ac:dyDescent="0.3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</row>
    <row r="26" spans="1:52" x14ac:dyDescent="0.3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</row>
    <row r="27" spans="1:52" x14ac:dyDescent="0.3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</row>
    <row r="28" spans="1:52" x14ac:dyDescent="0.3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</row>
    <row r="29" spans="1:52" x14ac:dyDescent="0.3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</row>
    <row r="30" spans="1:52" x14ac:dyDescent="0.3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</row>
    <row r="31" spans="1:52" x14ac:dyDescent="0.3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</row>
    <row r="32" spans="1:52" x14ac:dyDescent="0.3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</row>
    <row r="33" spans="1:52" x14ac:dyDescent="0.3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</row>
    <row r="34" spans="1:52" x14ac:dyDescent="0.3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</row>
    <row r="35" spans="1:52" x14ac:dyDescent="0.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</row>
    <row r="36" spans="1:52" x14ac:dyDescent="0.3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</row>
    <row r="37" spans="1:52" x14ac:dyDescent="0.3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</row>
    <row r="38" spans="1:52" x14ac:dyDescent="0.3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</row>
    <row r="39" spans="1:52" x14ac:dyDescent="0.3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</row>
    <row r="40" spans="1:52" x14ac:dyDescent="0.3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</row>
    <row r="41" spans="1:52" x14ac:dyDescent="0.3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</row>
    <row r="42" spans="1:52" x14ac:dyDescent="0.3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</row>
    <row r="43" spans="1:52" x14ac:dyDescent="0.3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</row>
    <row r="44" spans="1:52" x14ac:dyDescent="0.3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</row>
    <row r="45" spans="1:52" x14ac:dyDescent="0.3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</row>
    <row r="46" spans="1:52" x14ac:dyDescent="0.3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</row>
    <row r="47" spans="1:52" x14ac:dyDescent="0.3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</row>
    <row r="48" spans="1:52" x14ac:dyDescent="0.3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</row>
    <row r="49" spans="1:52" x14ac:dyDescent="0.3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</row>
    <row r="50" spans="1:52" x14ac:dyDescent="0.3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</row>
    <row r="51" spans="1:52" x14ac:dyDescent="0.3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</row>
    <row r="52" spans="1:52" x14ac:dyDescent="0.3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</row>
    <row r="53" spans="1:52" x14ac:dyDescent="0.3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</row>
    <row r="54" spans="1:52" x14ac:dyDescent="0.3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</row>
    <row r="55" spans="1:52" x14ac:dyDescent="0.3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</row>
    <row r="56" spans="1:52" x14ac:dyDescent="0.3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</row>
    <row r="57" spans="1:52" x14ac:dyDescent="0.3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</row>
    <row r="58" spans="1:52" x14ac:dyDescent="0.3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</row>
    <row r="59" spans="1:52" x14ac:dyDescent="0.3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</row>
    <row r="60" spans="1:52" x14ac:dyDescent="0.3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</row>
    <row r="61" spans="1:52" x14ac:dyDescent="0.3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</row>
    <row r="62" spans="1:52" x14ac:dyDescent="0.3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</row>
    <row r="63" spans="1:52" x14ac:dyDescent="0.3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</row>
    <row r="64" spans="1:52" x14ac:dyDescent="0.3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</row>
    <row r="65" spans="1:52" x14ac:dyDescent="0.3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</row>
    <row r="66" spans="1:52" x14ac:dyDescent="0.3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</row>
    <row r="67" spans="1:52" x14ac:dyDescent="0.3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</row>
    <row r="68" spans="1:52" x14ac:dyDescent="0.3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</row>
    <row r="69" spans="1:52" x14ac:dyDescent="0.3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</row>
    <row r="70" spans="1:52" x14ac:dyDescent="0.3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</row>
    <row r="71" spans="1:52" x14ac:dyDescent="0.3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</row>
    <row r="72" spans="1:52" x14ac:dyDescent="0.3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</row>
    <row r="73" spans="1:52" x14ac:dyDescent="0.3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</row>
    <row r="74" spans="1:52" x14ac:dyDescent="0.3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</row>
    <row r="75" spans="1:52" x14ac:dyDescent="0.3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</row>
    <row r="76" spans="1:52" x14ac:dyDescent="0.3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</row>
    <row r="77" spans="1:52" x14ac:dyDescent="0.3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</row>
    <row r="78" spans="1:52" x14ac:dyDescent="0.3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</row>
    <row r="79" spans="1:52" x14ac:dyDescent="0.3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</row>
    <row r="80" spans="1:52" x14ac:dyDescent="0.3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</row>
    <row r="81" spans="1:52" x14ac:dyDescent="0.3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</row>
    <row r="82" spans="1:52" x14ac:dyDescent="0.3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</row>
    <row r="83" spans="1:52" x14ac:dyDescent="0.3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</row>
    <row r="84" spans="1:52" x14ac:dyDescent="0.3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</row>
    <row r="85" spans="1:52" x14ac:dyDescent="0.3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</row>
    <row r="86" spans="1:52" x14ac:dyDescent="0.3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</row>
    <row r="87" spans="1:52" x14ac:dyDescent="0.3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</row>
    <row r="88" spans="1:52" x14ac:dyDescent="0.3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</row>
    <row r="89" spans="1:52" x14ac:dyDescent="0.3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</row>
    <row r="90" spans="1:52" x14ac:dyDescent="0.3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</row>
    <row r="91" spans="1:52" x14ac:dyDescent="0.3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</row>
    <row r="92" spans="1:52" x14ac:dyDescent="0.3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</row>
    <row r="93" spans="1:52" x14ac:dyDescent="0.3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</row>
    <row r="94" spans="1:52" x14ac:dyDescent="0.3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</row>
    <row r="95" spans="1:52" x14ac:dyDescent="0.3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</row>
    <row r="96" spans="1:52" x14ac:dyDescent="0.3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</row>
    <row r="97" spans="1:52" x14ac:dyDescent="0.3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</row>
    <row r="98" spans="1:52" x14ac:dyDescent="0.3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</row>
    <row r="99" spans="1:52" x14ac:dyDescent="0.3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</row>
    <row r="100" spans="1:52" x14ac:dyDescent="0.3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</row>
    <row r="101" spans="1:52" x14ac:dyDescent="0.3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</row>
    <row r="102" spans="1:52" x14ac:dyDescent="0.3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</row>
    <row r="103" spans="1:52" x14ac:dyDescent="0.3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</row>
    <row r="104" spans="1:52" x14ac:dyDescent="0.3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</row>
    <row r="105" spans="1:52" x14ac:dyDescent="0.3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</row>
    <row r="106" spans="1:52" x14ac:dyDescent="0.3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</row>
    <row r="107" spans="1:52" x14ac:dyDescent="0.3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</row>
    <row r="108" spans="1:52" x14ac:dyDescent="0.3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</row>
    <row r="109" spans="1:52" x14ac:dyDescent="0.3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</row>
    <row r="110" spans="1:52" x14ac:dyDescent="0.3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</row>
    <row r="111" spans="1:52" x14ac:dyDescent="0.3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</row>
    <row r="112" spans="1:52" x14ac:dyDescent="0.3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</row>
    <row r="113" spans="1:52" x14ac:dyDescent="0.3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</row>
    <row r="114" spans="1:52" x14ac:dyDescent="0.3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</row>
    <row r="115" spans="1:52" x14ac:dyDescent="0.3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</row>
    <row r="116" spans="1:52" x14ac:dyDescent="0.3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</row>
    <row r="117" spans="1:52" x14ac:dyDescent="0.3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</row>
    <row r="118" spans="1:52" x14ac:dyDescent="0.3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</row>
    <row r="119" spans="1:52" x14ac:dyDescent="0.3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</row>
    <row r="120" spans="1:52" x14ac:dyDescent="0.3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</row>
    <row r="121" spans="1:52" x14ac:dyDescent="0.3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</row>
    <row r="122" spans="1:52" x14ac:dyDescent="0.3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</row>
    <row r="123" spans="1:52" x14ac:dyDescent="0.3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</row>
    <row r="124" spans="1:52" x14ac:dyDescent="0.3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</row>
    <row r="125" spans="1:52" x14ac:dyDescent="0.3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</row>
    <row r="126" spans="1:52" x14ac:dyDescent="0.3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</row>
    <row r="127" spans="1:52" x14ac:dyDescent="0.3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</row>
    <row r="128" spans="1:52" x14ac:dyDescent="0.3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</row>
    <row r="129" spans="1:52" x14ac:dyDescent="0.3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</row>
    <row r="130" spans="1:52" x14ac:dyDescent="0.3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</row>
    <row r="131" spans="1:52" x14ac:dyDescent="0.3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</row>
    <row r="132" spans="1:52" x14ac:dyDescent="0.3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</row>
    <row r="133" spans="1:52" x14ac:dyDescent="0.3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</row>
    <row r="134" spans="1:52" x14ac:dyDescent="0.3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</row>
    <row r="135" spans="1:52" x14ac:dyDescent="0.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</row>
    <row r="136" spans="1:52" x14ac:dyDescent="0.3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</row>
    <row r="137" spans="1:52" x14ac:dyDescent="0.3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</row>
    <row r="138" spans="1:52" x14ac:dyDescent="0.3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</row>
    <row r="139" spans="1:52" x14ac:dyDescent="0.3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</row>
    <row r="140" spans="1:52" x14ac:dyDescent="0.3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</row>
    <row r="141" spans="1:52" x14ac:dyDescent="0.3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</row>
    <row r="142" spans="1:52" x14ac:dyDescent="0.3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</row>
    <row r="143" spans="1:52" x14ac:dyDescent="0.3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</row>
    <row r="144" spans="1:52" x14ac:dyDescent="0.3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</row>
    <row r="145" spans="1:52" x14ac:dyDescent="0.3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</row>
    <row r="146" spans="1:52" x14ac:dyDescent="0.3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</row>
    <row r="147" spans="1:52" x14ac:dyDescent="0.35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</row>
    <row r="148" spans="1:52" x14ac:dyDescent="0.35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</row>
    <row r="149" spans="1:52" x14ac:dyDescent="0.35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</row>
    <row r="150" spans="1:52" x14ac:dyDescent="0.3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</row>
    <row r="151" spans="1:52" x14ac:dyDescent="0.35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</row>
    <row r="152" spans="1:52" x14ac:dyDescent="0.35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</row>
    <row r="153" spans="1:52" x14ac:dyDescent="0.35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</row>
    <row r="154" spans="1:52" x14ac:dyDescent="0.35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</row>
    <row r="155" spans="1:52" x14ac:dyDescent="0.3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</row>
    <row r="156" spans="1:52" x14ac:dyDescent="0.35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</row>
    <row r="157" spans="1:52" x14ac:dyDescent="0.35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</row>
    <row r="158" spans="1:52" x14ac:dyDescent="0.35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</row>
    <row r="159" spans="1:52" x14ac:dyDescent="0.35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</row>
    <row r="160" spans="1:52" x14ac:dyDescent="0.35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</row>
    <row r="161" spans="1:52" x14ac:dyDescent="0.3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</row>
    <row r="162" spans="1:52" x14ac:dyDescent="0.3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</row>
    <row r="163" spans="1:52" x14ac:dyDescent="0.3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</row>
    <row r="164" spans="1:52" x14ac:dyDescent="0.3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</row>
    <row r="165" spans="1:52" x14ac:dyDescent="0.3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</row>
    <row r="166" spans="1:52" x14ac:dyDescent="0.3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</row>
    <row r="167" spans="1:52" x14ac:dyDescent="0.3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</row>
    <row r="168" spans="1:52" x14ac:dyDescent="0.3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</row>
    <row r="169" spans="1:52" x14ac:dyDescent="0.3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</row>
    <row r="170" spans="1:52" x14ac:dyDescent="0.3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</row>
    <row r="171" spans="1:52" x14ac:dyDescent="0.3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</row>
    <row r="172" spans="1:52" x14ac:dyDescent="0.3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</row>
    <row r="173" spans="1:52" x14ac:dyDescent="0.3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</row>
    <row r="174" spans="1:52" x14ac:dyDescent="0.3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</row>
    <row r="175" spans="1:52" x14ac:dyDescent="0.3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</row>
    <row r="176" spans="1:52" x14ac:dyDescent="0.3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</row>
    <row r="177" spans="1:52" x14ac:dyDescent="0.3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</row>
    <row r="178" spans="1:52" x14ac:dyDescent="0.35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</row>
    <row r="179" spans="1:52" x14ac:dyDescent="0.35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</row>
    <row r="180" spans="1:52" x14ac:dyDescent="0.35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</row>
    <row r="181" spans="1:52" x14ac:dyDescent="0.35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</row>
    <row r="182" spans="1:52" x14ac:dyDescent="0.35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</row>
    <row r="183" spans="1:52" x14ac:dyDescent="0.35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</row>
    <row r="184" spans="1:52" x14ac:dyDescent="0.35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</row>
    <row r="185" spans="1:52" x14ac:dyDescent="0.3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</row>
    <row r="186" spans="1:52" x14ac:dyDescent="0.35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</row>
    <row r="187" spans="1:52" x14ac:dyDescent="0.35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</row>
    <row r="188" spans="1:52" x14ac:dyDescent="0.35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</row>
    <row r="189" spans="1:52" x14ac:dyDescent="0.35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</row>
    <row r="190" spans="1:52" x14ac:dyDescent="0.35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</row>
    <row r="191" spans="1:52" x14ac:dyDescent="0.35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</row>
    <row r="192" spans="1:52" x14ac:dyDescent="0.35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</row>
    <row r="193" spans="1:52" x14ac:dyDescent="0.35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</row>
    <row r="194" spans="1:52" x14ac:dyDescent="0.35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</row>
    <row r="195" spans="1:52" x14ac:dyDescent="0.3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</row>
    <row r="196" spans="1:52" x14ac:dyDescent="0.35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</row>
    <row r="197" spans="1:52" x14ac:dyDescent="0.35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</row>
    <row r="198" spans="1:52" x14ac:dyDescent="0.35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</row>
    <row r="199" spans="1:52" x14ac:dyDescent="0.35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</row>
    <row r="200" spans="1:52" x14ac:dyDescent="0.35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</row>
    <row r="201" spans="1:52" x14ac:dyDescent="0.35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</row>
    <row r="202" spans="1:52" x14ac:dyDescent="0.3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</row>
    <row r="203" spans="1:52" x14ac:dyDescent="0.3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</row>
    <row r="204" spans="1:52" x14ac:dyDescent="0.35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</row>
    <row r="205" spans="1:52" x14ac:dyDescent="0.3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</row>
    <row r="206" spans="1:52" x14ac:dyDescent="0.35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</row>
    <row r="207" spans="1:52" x14ac:dyDescent="0.35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</row>
    <row r="208" spans="1:52" x14ac:dyDescent="0.35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</row>
    <row r="209" spans="1:52" x14ac:dyDescent="0.35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</row>
    <row r="210" spans="1:52" x14ac:dyDescent="0.35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</row>
    <row r="211" spans="1:52" x14ac:dyDescent="0.35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</row>
    <row r="212" spans="1:52" x14ac:dyDescent="0.35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</row>
    <row r="213" spans="1:52" x14ac:dyDescent="0.3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</row>
    <row r="214" spans="1:52" x14ac:dyDescent="0.3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</row>
    <row r="215" spans="1:52" x14ac:dyDescent="0.3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</row>
    <row r="216" spans="1:52" x14ac:dyDescent="0.3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</row>
    <row r="217" spans="1:52" x14ac:dyDescent="0.3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</row>
    <row r="218" spans="1:52" x14ac:dyDescent="0.3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</row>
    <row r="219" spans="1:52" x14ac:dyDescent="0.3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</row>
    <row r="220" spans="1:52" x14ac:dyDescent="0.3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</row>
    <row r="221" spans="1:52" x14ac:dyDescent="0.3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</row>
    <row r="222" spans="1:52" x14ac:dyDescent="0.3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</row>
    <row r="223" spans="1:52" x14ac:dyDescent="0.3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</row>
    <row r="224" spans="1:52" x14ac:dyDescent="0.3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</row>
    <row r="225" spans="1:52" x14ac:dyDescent="0.3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</row>
    <row r="226" spans="1:52" x14ac:dyDescent="0.3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</row>
    <row r="227" spans="1:52" x14ac:dyDescent="0.3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</row>
    <row r="228" spans="1:52" x14ac:dyDescent="0.3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</row>
    <row r="229" spans="1:52" x14ac:dyDescent="0.3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</row>
    <row r="230" spans="1:52" x14ac:dyDescent="0.3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</row>
    <row r="231" spans="1:52" x14ac:dyDescent="0.3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</row>
    <row r="232" spans="1:52" x14ac:dyDescent="0.3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</row>
    <row r="233" spans="1:52" x14ac:dyDescent="0.3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</row>
    <row r="234" spans="1:52" x14ac:dyDescent="0.3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</row>
    <row r="235" spans="1:52" x14ac:dyDescent="0.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</row>
    <row r="236" spans="1:52" x14ac:dyDescent="0.3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</row>
    <row r="237" spans="1:52" x14ac:dyDescent="0.3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</row>
    <row r="238" spans="1:52" x14ac:dyDescent="0.3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</row>
    <row r="239" spans="1:52" x14ac:dyDescent="0.3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</row>
    <row r="240" spans="1:52" x14ac:dyDescent="0.3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</row>
    <row r="241" spans="1:52" x14ac:dyDescent="0.3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</row>
    <row r="242" spans="1:52" x14ac:dyDescent="0.3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</row>
    <row r="243" spans="1:52" x14ac:dyDescent="0.3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</row>
    <row r="244" spans="1:52" x14ac:dyDescent="0.3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</row>
    <row r="245" spans="1:52" x14ac:dyDescent="0.3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</row>
    <row r="246" spans="1:52" x14ac:dyDescent="0.3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</row>
    <row r="247" spans="1:52" x14ac:dyDescent="0.3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</row>
    <row r="248" spans="1:52" x14ac:dyDescent="0.3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</row>
    <row r="249" spans="1:52" x14ac:dyDescent="0.3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</row>
    <row r="250" spans="1:52" x14ac:dyDescent="0.3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</row>
    <row r="251" spans="1:52" x14ac:dyDescent="0.3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</row>
    <row r="252" spans="1:52" x14ac:dyDescent="0.3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</row>
    <row r="253" spans="1:52" x14ac:dyDescent="0.3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</row>
    <row r="254" spans="1:52" x14ac:dyDescent="0.3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</row>
    <row r="255" spans="1:52" x14ac:dyDescent="0.3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</row>
    <row r="256" spans="1:52" x14ac:dyDescent="0.3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</row>
    <row r="257" spans="1:52" x14ac:dyDescent="0.3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</row>
    <row r="258" spans="1:52" x14ac:dyDescent="0.3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</row>
    <row r="259" spans="1:52" x14ac:dyDescent="0.3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</row>
    <row r="260" spans="1:52" x14ac:dyDescent="0.3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</row>
    <row r="261" spans="1:52" x14ac:dyDescent="0.3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</row>
    <row r="262" spans="1:52" x14ac:dyDescent="0.3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</row>
    <row r="263" spans="1:52" x14ac:dyDescent="0.3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</row>
    <row r="264" spans="1:52" x14ac:dyDescent="0.3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</row>
    <row r="265" spans="1:52" x14ac:dyDescent="0.3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</row>
    <row r="266" spans="1:52" x14ac:dyDescent="0.3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</row>
    <row r="267" spans="1:52" x14ac:dyDescent="0.3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</row>
    <row r="268" spans="1:52" x14ac:dyDescent="0.3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</row>
    <row r="269" spans="1:52" x14ac:dyDescent="0.3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</row>
    <row r="270" spans="1:52" x14ac:dyDescent="0.3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</row>
    <row r="271" spans="1:52" x14ac:dyDescent="0.3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</row>
    <row r="272" spans="1:52" x14ac:dyDescent="0.3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</row>
    <row r="273" spans="1:52" x14ac:dyDescent="0.3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</row>
    <row r="274" spans="1:52" x14ac:dyDescent="0.3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</row>
    <row r="275" spans="1:52" x14ac:dyDescent="0.3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</row>
    <row r="276" spans="1:52" x14ac:dyDescent="0.3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</row>
    <row r="277" spans="1:52" x14ac:dyDescent="0.3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</row>
    <row r="278" spans="1:52" x14ac:dyDescent="0.3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</row>
    <row r="279" spans="1:52" x14ac:dyDescent="0.3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</row>
    <row r="280" spans="1:52" x14ac:dyDescent="0.3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</row>
    <row r="281" spans="1:52" x14ac:dyDescent="0.3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</row>
    <row r="282" spans="1:52" x14ac:dyDescent="0.3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</row>
    <row r="283" spans="1:52" x14ac:dyDescent="0.3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</row>
    <row r="284" spans="1:52" x14ac:dyDescent="0.3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</row>
    <row r="285" spans="1:52" x14ac:dyDescent="0.3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</row>
    <row r="286" spans="1:52" x14ac:dyDescent="0.3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</row>
    <row r="287" spans="1:52" x14ac:dyDescent="0.3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</row>
    <row r="288" spans="1:52" x14ac:dyDescent="0.3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</row>
    <row r="289" spans="1:52" x14ac:dyDescent="0.3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</row>
    <row r="290" spans="1:52" x14ac:dyDescent="0.3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</row>
    <row r="291" spans="1:52" x14ac:dyDescent="0.3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</row>
    <row r="292" spans="1:52" x14ac:dyDescent="0.3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</row>
    <row r="293" spans="1:52" x14ac:dyDescent="0.3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</row>
    <row r="294" spans="1:52" x14ac:dyDescent="0.3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</row>
  </sheetData>
  <mergeCells count="3">
    <mergeCell ref="A1:R3"/>
    <mergeCell ref="S1:AI3"/>
    <mergeCell ref="AJ1:AZ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raw_podaci</vt:lpstr>
      <vt:lpstr>podaci</vt:lpstr>
      <vt:lpstr>statistika</vt:lpstr>
      <vt:lpstr>usporedba_ploca</vt:lpstr>
      <vt:lpstr>vs_referenca</vt:lpstr>
      <vt:lpstr>najbolji_vs_najgori</vt:lpstr>
      <vt:lpstr>rezultati</vt:lpstr>
      <vt:lpstr>grafovi_final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mmajer2@algebra.hr</dc:creator>
  <cp:lastModifiedBy>Martin Majerić | Student</cp:lastModifiedBy>
  <dcterms:created xsi:type="dcterms:W3CDTF">2026-01-12T19:43:31Z</dcterms:created>
  <dcterms:modified xsi:type="dcterms:W3CDTF">2026-01-13T16:24:32Z</dcterms:modified>
</cp:coreProperties>
</file>